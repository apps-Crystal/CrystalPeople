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P Build Status" sheetId="1" state="visible" r:id="rId1"/>
    <sheet xmlns:r="http://schemas.openxmlformats.org/officeDocument/2006/relationships" name="Completed" sheetId="2" state="visible" r:id="rId2"/>
    <sheet xmlns:r="http://schemas.openxmlformats.org/officeDocument/2006/relationships" name="Pending" sheetId="3" state="visible" r:id="rId3"/>
    <sheet xmlns:r="http://schemas.openxmlformats.org/officeDocument/2006/relationships" name="Phase Roadmap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3A5C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B3A5C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610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9C6500"/>
      <sz val="10"/>
    </font>
    <font>
      <name val="Arial"/>
      <charset val="1"/>
      <family val="0"/>
      <b val="1"/>
      <color rgb="FF1B3A5C"/>
      <sz val="12"/>
    </font>
    <font>
      <name val="Arial"/>
      <charset val="1"/>
      <family val="0"/>
      <b val="1"/>
      <color rgb="FF333333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6100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9C0006"/>
      <sz val="14"/>
    </font>
    <font>
      <name val="Arial"/>
      <b val="1"/>
      <color rgb="001B3A5C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B3A5C"/>
      <sz val="11"/>
    </font>
    <font>
      <name val="Arial"/>
      <b val="1"/>
      <color rgb="00006100"/>
      <sz val="10"/>
    </font>
    <font>
      <name val="Arial"/>
      <sz val="10"/>
    </font>
    <font>
      <name val="Arial"/>
      <color rgb="00006100"/>
      <sz val="10"/>
    </font>
    <font>
      <name val="Arial"/>
      <color rgb="00666666"/>
      <sz val="9"/>
    </font>
    <font>
      <name val="Arial"/>
      <b val="1"/>
      <color rgb="009C6500"/>
      <sz val="10"/>
    </font>
    <font>
      <name val="Arial"/>
      <color rgb="009C6500"/>
      <sz val="10"/>
    </font>
    <font>
      <name val="Arial"/>
      <b val="1"/>
      <color rgb="009C0006"/>
      <sz val="10"/>
    </font>
    <font>
      <name val="Arial"/>
      <color rgb="00666666"/>
      <sz val="10"/>
    </font>
    <font>
      <name val="Arial"/>
      <color rgb="00333333"/>
      <sz val="10"/>
    </font>
    <font>
      <name val="Arial"/>
      <b val="1"/>
      <color rgb="00666666"/>
      <sz val="10"/>
    </font>
  </fonts>
  <fills count="14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4F0"/>
        <bgColor rgb="FFE0E0E0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E0E0E0"/>
      </patternFill>
    </fill>
    <fill>
      <patternFill patternType="solid">
        <fgColor rgb="FFFFEB9C"/>
        <bgColor rgb="FFFFFFCC"/>
      </patternFill>
    </fill>
    <fill>
      <patternFill patternType="solid">
        <fgColor rgb="FFE0E0E0"/>
        <bgColor rgb="FFD6E4F0"/>
      </patternFill>
    </fill>
    <fill>
      <patternFill patternType="solid">
        <fgColor rgb="001B3A5C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0E0E0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20" fillId="8" borderId="6" applyAlignment="1" pivotButton="0" quotePrefix="0" xfId="0">
      <alignment horizontal="center" vertical="center" wrapText="1"/>
    </xf>
    <xf numFmtId="0" fontId="21" fillId="9" borderId="6" applyAlignment="1" pivotButton="0" quotePrefix="0" xfId="0">
      <alignment vertical="center"/>
    </xf>
    <xf numFmtId="0" fontId="0" fillId="9" borderId="6" pivotButton="0" quotePrefix="0" xfId="0"/>
    <xf numFmtId="0" fontId="22" fillId="10" borderId="6" applyAlignment="1" pivotButton="0" quotePrefix="0" xfId="0">
      <alignment horizontal="center" vertical="center"/>
    </xf>
    <xf numFmtId="0" fontId="0" fillId="0" borderId="6" pivotButton="0" quotePrefix="0" xfId="0"/>
    <xf numFmtId="0" fontId="23" fillId="0" borderId="6" applyAlignment="1" pivotButton="0" quotePrefix="0" xfId="0">
      <alignment vertical="center" wrapText="1"/>
    </xf>
    <xf numFmtId="0" fontId="24" fillId="10" borderId="6" applyAlignment="1" pivotButton="0" quotePrefix="0" xfId="0">
      <alignment horizontal="center" vertical="center"/>
    </xf>
    <xf numFmtId="0" fontId="25" fillId="0" borderId="6" applyAlignment="1" pivotButton="0" quotePrefix="0" xfId="0">
      <alignment vertical="center" wrapText="1"/>
    </xf>
    <xf numFmtId="0" fontId="26" fillId="11" borderId="6" applyAlignment="1" pivotButton="0" quotePrefix="0" xfId="0">
      <alignment horizontal="center" vertical="center"/>
    </xf>
    <xf numFmtId="0" fontId="27" fillId="11" borderId="6" applyAlignment="1" pivotButton="0" quotePrefix="0" xfId="0">
      <alignment horizontal="center" vertical="center"/>
    </xf>
    <xf numFmtId="0" fontId="28" fillId="12" borderId="6" applyAlignment="1" pivotButton="0" quotePrefix="0" xfId="0">
      <alignment horizontal="center" vertical="center"/>
    </xf>
    <xf numFmtId="0" fontId="29" fillId="13" borderId="6" applyAlignment="1" pivotButton="0" quotePrefix="0" xfId="0">
      <alignment horizontal="center" vertical="center"/>
    </xf>
    <xf numFmtId="0" fontId="21" fillId="0" borderId="0" pivotButton="0" quotePrefix="0" xfId="0"/>
    <xf numFmtId="0" fontId="30" fillId="0" borderId="6" pivotButton="0" quotePrefix="0" xfId="0"/>
    <xf numFmtId="0" fontId="31" fillId="13" borderId="6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0B0B0"/>
      <rgbColor rgb="FF808080"/>
      <rgbColor rgb="FF9999FF"/>
      <rgbColor rgb="FF993366"/>
      <rgbColor rgb="FFFFFFCC"/>
      <rgbColor rgb="FFE0E0E0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0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25" min="1" max="1"/>
    <col width="14" customWidth="1" style="25" min="2" max="2"/>
    <col width="52" customWidth="1" style="25" min="3" max="3"/>
    <col width="14" customWidth="1" style="25" min="4" max="4"/>
    <col width="12" customWidth="1" style="25" min="5" max="5"/>
    <col width="45" customWidth="1" style="25" min="6" max="6"/>
  </cols>
  <sheetData>
    <row r="1" ht="30" customHeight="1" s="26">
      <c r="A1" s="27" t="inlineStr">
        <is>
          <t>Crystal People — SOP vs Build Status Tracker</t>
        </is>
      </c>
    </row>
    <row r="2" ht="15" customHeight="1" s="26">
      <c r="A2" s="28" t="inlineStr">
        <is>
          <t>SOP Document: HR-SOP-002 v1.0  |  As of: 26 March 2026</t>
        </is>
      </c>
    </row>
    <row r="4" ht="24" customHeight="1" s="26">
      <c r="A4" s="29" t="inlineStr">
        <is>
          <t>S.No</t>
        </is>
      </c>
      <c r="B4" s="29" t="inlineStr">
        <is>
          <t>SOP Section</t>
        </is>
      </c>
      <c r="C4" s="29" t="inlineStr">
        <is>
          <t>Feature / Requirement</t>
        </is>
      </c>
      <c r="D4" s="29" t="inlineStr">
        <is>
          <t>Status</t>
        </is>
      </c>
      <c r="E4" s="29" t="inlineStr">
        <is>
          <t>Phase</t>
        </is>
      </c>
      <c r="F4" s="29" t="inlineStr">
        <is>
          <t>Remarks</t>
        </is>
      </c>
    </row>
    <row r="5" ht="21.75" customHeight="1" s="26">
      <c r="A5" s="30" t="inlineStr">
        <is>
          <t>SOP 3. Roles — User Roles &amp; Permissions</t>
        </is>
      </c>
      <c r="B5" s="31" t="n"/>
      <c r="C5" s="31" t="n"/>
      <c r="D5" s="31" t="n"/>
      <c r="E5" s="31" t="n"/>
      <c r="F5" s="32" t="n"/>
    </row>
    <row r="6" ht="15" customHeight="1" s="26">
      <c r="A6" s="33" t="n">
        <v>1</v>
      </c>
      <c r="B6" s="34" t="inlineStr">
        <is>
          <t>3</t>
        </is>
      </c>
      <c r="C6" s="34" t="inlineStr">
        <is>
          <t>4 roles: Employee, Manager, HR, MD/CEO</t>
        </is>
      </c>
      <c r="D6" s="35" t="inlineStr">
        <is>
          <t>Done</t>
        </is>
      </c>
      <c r="E6" s="33" t="inlineStr">
        <is>
          <t>1</t>
        </is>
      </c>
      <c r="F6" s="34" t="inlineStr">
        <is>
          <t>JWT auth with role-based access</t>
        </is>
      </c>
    </row>
    <row r="7" ht="15" customHeight="1" s="26">
      <c r="A7" s="33" t="n">
        <v>2</v>
      </c>
      <c r="B7" s="34" t="inlineStr">
        <is>
          <t>3</t>
        </is>
      </c>
      <c r="C7" s="34" t="inlineStr">
        <is>
          <t>Role-based visibility (Can See / Can Do per role table)</t>
        </is>
      </c>
      <c r="D7" s="35" t="inlineStr">
        <is>
          <t>Done</t>
        </is>
      </c>
      <c r="E7" s="33" t="inlineStr">
        <is>
          <t>1</t>
        </is>
      </c>
      <c r="F7" s="34" t="inlineStr">
        <is>
          <t>Enforced in all API routes + sidebar</t>
        </is>
      </c>
    </row>
    <row r="8" ht="15" customHeight="1" s="26">
      <c r="A8" s="33" t="n">
        <v>3</v>
      </c>
      <c r="B8" s="34" t="inlineStr">
        <is>
          <t>3</t>
        </is>
      </c>
      <c r="C8" s="34" t="inlineStr">
        <is>
          <t>Key control: Employee cannot self-approve goals/ratings</t>
        </is>
      </c>
      <c r="D8" s="35" t="inlineStr">
        <is>
          <t>Done</t>
        </is>
      </c>
      <c r="E8" s="33" t="inlineStr">
        <is>
          <t>2C</t>
        </is>
      </c>
      <c r="F8" s="34" t="inlineStr">
        <is>
          <t>Manager and employee always different</t>
        </is>
      </c>
    </row>
    <row r="9" ht="21.75" customHeight="1" s="26">
      <c r="A9" s="30" t="inlineStr">
        <is>
          <t>SOP 4. Employee Types — Two Employee Types</t>
        </is>
      </c>
      <c r="B9" s="31" t="n"/>
      <c r="C9" s="31" t="n"/>
      <c r="D9" s="31" t="n"/>
      <c r="E9" s="31" t="n"/>
      <c r="F9" s="32" t="n"/>
    </row>
    <row r="10" ht="15" customHeight="1" s="26">
      <c r="A10" s="33" t="n">
        <v>4</v>
      </c>
      <c r="B10" s="34" t="inlineStr">
        <is>
          <t>4.1</t>
        </is>
      </c>
      <c r="C10" s="34" t="inlineStr">
        <is>
          <t>White collar — scored against monthly goals</t>
        </is>
      </c>
      <c r="D10" s="35" t="inlineStr">
        <is>
          <t>Done</t>
        </is>
      </c>
      <c r="E10" s="33" t="inlineStr">
        <is>
          <t>2C</t>
        </is>
      </c>
      <c r="F10" s="34" t="inlineStr">
        <is>
          <t>Goals + 3 behaviours</t>
        </is>
      </c>
    </row>
    <row r="11" ht="15" customHeight="1" s="26">
      <c r="A11" s="33" t="n">
        <v>5</v>
      </c>
      <c r="B11" s="34" t="inlineStr">
        <is>
          <t>4.1</t>
        </is>
      </c>
      <c r="C11" s="34" t="inlineStr">
        <is>
          <t>Min 3, max 5 goals at all times</t>
        </is>
      </c>
      <c r="D11" s="35" t="inlineStr">
        <is>
          <t>Done</t>
        </is>
      </c>
      <c r="E11" s="33" t="inlineStr">
        <is>
          <t>2C</t>
        </is>
      </c>
      <c r="F11" s="34" t="inlineStr">
        <is>
          <t>Validated in goal API</t>
        </is>
      </c>
    </row>
    <row r="12" ht="15" customHeight="1" s="26">
      <c r="A12" s="33" t="n">
        <v>6</v>
      </c>
      <c r="B12" s="34" t="inlineStr">
        <is>
          <t>4.1</t>
        </is>
      </c>
      <c r="C12" s="34" t="inlineStr">
        <is>
          <t>Cannot drop below 3 without replacement</t>
        </is>
      </c>
      <c r="D12" s="35" t="inlineStr">
        <is>
          <t>Done</t>
        </is>
      </c>
      <c r="E12" s="33" t="inlineStr">
        <is>
          <t>2C</t>
        </is>
      </c>
      <c r="F12" s="34" t="inlineStr">
        <is>
          <t>Enforced in drop goal logic</t>
        </is>
      </c>
    </row>
    <row r="13" ht="15" customHeight="1" s="26">
      <c r="A13" s="33" t="n">
        <v>7</v>
      </c>
      <c r="B13" s="34" t="inlineStr">
        <is>
          <t>4.1</t>
        </is>
      </c>
      <c r="C13" s="34" t="inlineStr">
        <is>
          <t>Dropped goals require mandatory written reason</t>
        </is>
      </c>
      <c r="D13" s="35" t="inlineStr">
        <is>
          <t>Done</t>
        </is>
      </c>
      <c r="E13" s="33" t="inlineStr">
        <is>
          <t>2C</t>
        </is>
      </c>
      <c r="F13" s="34" t="inlineStr">
        <is>
          <t>Drop_Reason field required</t>
        </is>
      </c>
    </row>
    <row r="14" ht="15" customHeight="1" s="26">
      <c r="A14" s="33" t="n">
        <v>8</v>
      </c>
      <c r="B14" s="34" t="inlineStr">
        <is>
          <t>4.1</t>
        </is>
      </c>
      <c r="C14" s="34" t="inlineStr">
        <is>
          <t>New mid-month goals active immediately, scored next month</t>
        </is>
      </c>
      <c r="D14" s="35" t="inlineStr">
        <is>
          <t>Done</t>
        </is>
      </c>
      <c r="E14" s="33" t="inlineStr">
        <is>
          <t>2C</t>
        </is>
      </c>
      <c r="F14" s="34" t="inlineStr">
        <is>
          <t>Created_At tracked</t>
        </is>
      </c>
    </row>
    <row r="15" ht="15" customHeight="1" s="26">
      <c r="A15" s="33" t="n">
        <v>9</v>
      </c>
      <c r="B15" s="34" t="inlineStr">
        <is>
          <t>4.2</t>
        </is>
      </c>
      <c r="C15" s="34" t="inlineStr">
        <is>
          <t>Blue collar — fixed task scorecard</t>
        </is>
      </c>
      <c r="D15" s="35" t="inlineStr">
        <is>
          <t>Done</t>
        </is>
      </c>
      <c r="E15" s="33" t="inlineStr">
        <is>
          <t>2C</t>
        </is>
      </c>
      <c r="F15" s="34" t="inlineStr">
        <is>
          <t>Tasks sheet + scoring</t>
        </is>
      </c>
    </row>
    <row r="16" ht="15" customHeight="1" s="26">
      <c r="A16" s="33" t="n">
        <v>10</v>
      </c>
      <c r="B16" s="34" t="inlineStr">
        <is>
          <t>4.2</t>
        </is>
      </c>
      <c r="C16" s="34" t="inlineStr">
        <is>
          <t>3–5 tasks per employee, fixed for year</t>
        </is>
      </c>
      <c r="D16" s="35" t="inlineStr">
        <is>
          <t>Done</t>
        </is>
      </c>
      <c r="E16" s="33" t="inlineStr">
        <is>
          <t>2C</t>
        </is>
      </c>
      <c r="F16" s="34" t="inlineStr">
        <is>
          <t>Manager sets via Team Tasks UI</t>
        </is>
      </c>
    </row>
    <row r="17" ht="15" customHeight="1" s="26">
      <c r="A17" s="33" t="n">
        <v>11</v>
      </c>
      <c r="B17" s="34" t="inlineStr">
        <is>
          <t>4.2</t>
        </is>
      </c>
      <c r="C17" s="34" t="inlineStr">
        <is>
          <t>Each task scored 1–5 monthly by manager</t>
        </is>
      </c>
      <c r="D17" s="35" t="inlineStr">
        <is>
          <t>Done</t>
        </is>
      </c>
      <c r="E17" s="33" t="inlineStr">
        <is>
          <t>2C</t>
        </is>
      </c>
      <c r="F17" s="34" t="inlineStr">
        <is>
          <t>Monthly_Scores JSON in Tasks sheet</t>
        </is>
      </c>
    </row>
    <row r="18" ht="15" customHeight="1" s="26">
      <c r="A18" s="33" t="n">
        <v>12</v>
      </c>
      <c r="B18" s="34" t="inlineStr">
        <is>
          <t>4.3</t>
        </is>
      </c>
      <c r="C18" s="34" t="inlineStr">
        <is>
          <t>3 behavioural dimensions (Attendance, Teamwork, Ownership)</t>
        </is>
      </c>
      <c r="D18" s="35" t="inlineStr">
        <is>
          <t>Done</t>
        </is>
      </c>
      <c r="E18" s="33" t="inlineStr">
        <is>
          <t>2C</t>
        </is>
      </c>
      <c r="F18" s="34" t="inlineStr">
        <is>
          <t>BEHAVIOUR_DIMENSIONS constant</t>
        </is>
      </c>
    </row>
    <row r="19" ht="21.75" customHeight="1" s="26">
      <c r="A19" s="30" t="inlineStr">
        <is>
          <t>SOP 5. Rating Scale — The Rating Scale</t>
        </is>
      </c>
      <c r="B19" s="31" t="n"/>
      <c r="C19" s="31" t="n"/>
      <c r="D19" s="31" t="n"/>
      <c r="E19" s="31" t="n"/>
      <c r="F19" s="32" t="n"/>
    </row>
    <row r="20" ht="15" customHeight="1" s="26">
      <c r="A20" s="33" t="n">
        <v>13</v>
      </c>
      <c r="B20" s="34" t="inlineStr">
        <is>
          <t>5</t>
        </is>
      </c>
      <c r="C20" s="34" t="inlineStr">
        <is>
          <t>1–5 scale with labels (Outstanding → Unsatisfactory)</t>
        </is>
      </c>
      <c r="D20" s="35" t="inlineStr">
        <is>
          <t>Done</t>
        </is>
      </c>
      <c r="E20" s="33" t="inlineStr">
        <is>
          <t>2C</t>
        </is>
      </c>
      <c r="F20" s="34" t="inlineStr">
        <is>
          <t>getRatingBand() in utils.ts</t>
        </is>
      </c>
    </row>
    <row r="21" ht="15" customHeight="1" s="26">
      <c r="A21" s="33" t="n">
        <v>14</v>
      </c>
      <c r="B21" s="34" t="inlineStr">
        <is>
          <t>5</t>
        </is>
      </c>
      <c r="C21" s="34" t="inlineStr">
        <is>
          <t>Simple average of all dimensions, no weighting</t>
        </is>
      </c>
      <c r="D21" s="35" t="inlineStr">
        <is>
          <t>Done</t>
        </is>
      </c>
      <c r="E21" s="33" t="inlineStr">
        <is>
          <t>2C</t>
        </is>
      </c>
      <c r="F21" s="34" t="inlineStr">
        <is>
          <t>computeAverage() in utils.ts</t>
        </is>
      </c>
    </row>
    <row r="22" ht="21.75" customHeight="1" s="26">
      <c r="A22" s="30" t="inlineStr">
        <is>
          <t>SOP 6. Weekly Cycle — The Weekly Cycle — Every Friday</t>
        </is>
      </c>
      <c r="B22" s="31" t="n"/>
      <c r="C22" s="31" t="n"/>
      <c r="D22" s="31" t="n"/>
      <c r="E22" s="31" t="n"/>
      <c r="F22" s="32" t="n"/>
    </row>
    <row r="23" ht="15" customHeight="1" s="26">
      <c r="A23" s="33" t="n">
        <v>15</v>
      </c>
      <c r="B23" s="34" t="inlineStr">
        <is>
          <t>6.1</t>
        </is>
      </c>
      <c r="C23" s="34" t="inlineStr">
        <is>
          <t>Employee weekly reflection (4 fields + mood)</t>
        </is>
      </c>
      <c r="D23" s="35" t="inlineStr">
        <is>
          <t>Done</t>
        </is>
      </c>
      <c r="E23" s="33" t="inlineStr">
        <is>
          <t>2B</t>
        </is>
      </c>
      <c r="F23" s="34" t="inlineStr">
        <is>
          <t>Weekly_Reflections sheet</t>
        </is>
      </c>
    </row>
    <row r="24" ht="15" customHeight="1" s="26">
      <c r="A24" s="33" t="n">
        <v>16</v>
      </c>
      <c r="B24" s="34" t="inlineStr">
        <is>
          <t>6.2</t>
        </is>
      </c>
      <c r="C24" s="34" t="inlineStr">
        <is>
          <t>Manager weekly check-in (5 fields with visibility rules)</t>
        </is>
      </c>
      <c r="D24" s="35" t="inlineStr">
        <is>
          <t>Done</t>
        </is>
      </c>
      <c r="E24" s="33" t="inlineStr">
        <is>
          <t>2B</t>
        </is>
      </c>
      <c r="F24" s="34" t="inlineStr">
        <is>
          <t>Weekly_Checkins sheet</t>
        </is>
      </c>
    </row>
    <row r="25" ht="15" customHeight="1" s="26">
      <c r="A25" s="33" t="n">
        <v>17</v>
      </c>
      <c r="B25" s="34" t="inlineStr">
        <is>
          <t>6.2</t>
        </is>
      </c>
      <c r="C25" s="34" t="inlineStr">
        <is>
          <t>Concern field visible to HR/MD only, never to employee</t>
        </is>
      </c>
      <c r="D25" s="35" t="inlineStr">
        <is>
          <t>Done</t>
        </is>
      </c>
      <c r="E25" s="33" t="inlineStr">
        <is>
          <t>2B</t>
        </is>
      </c>
      <c r="F25" s="34" t="inlineStr">
        <is>
          <t>Filtered in API response</t>
        </is>
      </c>
    </row>
    <row r="26" ht="15" customHeight="1" s="26">
      <c r="A26" s="33" t="n">
        <v>18</v>
      </c>
      <c r="B26" s="34" t="inlineStr">
        <is>
          <t>6.3</t>
        </is>
      </c>
      <c r="C26" s="34" t="inlineStr">
        <is>
          <t>Employee acknowledgement of check-in</t>
        </is>
      </c>
      <c r="D26" s="35" t="inlineStr">
        <is>
          <t>Done</t>
        </is>
      </c>
      <c r="E26" s="33" t="inlineStr">
        <is>
          <t>2B</t>
        </is>
      </c>
      <c r="F26" s="34" t="inlineStr">
        <is>
          <t>Acknowledged_At in reflections</t>
        </is>
      </c>
    </row>
    <row r="27" ht="15" customHeight="1" s="26">
      <c r="A27" s="33" t="n">
        <v>19</v>
      </c>
      <c r="B27" s="34" t="inlineStr">
        <is>
          <t>6.3</t>
        </is>
      </c>
      <c r="C27" s="34" t="inlineStr">
        <is>
          <t>Saturday auto reminder to non-submitters</t>
        </is>
      </c>
      <c r="D27" s="36" t="inlineStr">
        <is>
          <t>Not Built</t>
        </is>
      </c>
      <c r="E27" s="33" t="inlineStr">
        <is>
          <t>3</t>
        </is>
      </c>
      <c r="F27" s="34" t="inlineStr">
        <is>
          <t>Needs scheduled job</t>
        </is>
      </c>
    </row>
    <row r="28" ht="15" customHeight="1" s="26">
      <c r="A28" s="33" t="n">
        <v>20</v>
      </c>
      <c r="B28" s="34" t="inlineStr">
        <is>
          <t>6.3</t>
        </is>
      </c>
      <c r="C28" s="34" t="inlineStr">
        <is>
          <t>Monday — pending visible to HR</t>
        </is>
      </c>
      <c r="D28" s="36" t="inlineStr">
        <is>
          <t>Not Built</t>
        </is>
      </c>
      <c r="E28" s="33" t="inlineStr">
        <is>
          <t>3</t>
        </is>
      </c>
      <c r="F28" s="34" t="inlineStr">
        <is>
          <t>Needs escalation dashboard</t>
        </is>
      </c>
    </row>
    <row r="29" ht="15" customHeight="1" s="26">
      <c r="A29" s="33" t="n">
        <v>21</v>
      </c>
      <c r="B29" s="34" t="inlineStr">
        <is>
          <t>6.3</t>
        </is>
      </c>
      <c r="C29" s="34" t="inlineStr">
        <is>
          <t>Missed reflections tracked, visible to MD</t>
        </is>
      </c>
      <c r="D29" s="36" t="inlineStr">
        <is>
          <t>Not Built</t>
        </is>
      </c>
      <c r="E29" s="33" t="inlineStr">
        <is>
          <t>3</t>
        </is>
      </c>
      <c r="F29" s="34" t="inlineStr">
        <is>
          <t>Needs exec escalation view</t>
        </is>
      </c>
    </row>
    <row r="30" ht="21.75" customHeight="1" s="26">
      <c r="A30" s="30" t="inlineStr">
        <is>
          <t>SOP 7. Monthly Cycle — The Monthly Cycle</t>
        </is>
      </c>
      <c r="B30" s="31" t="n"/>
      <c r="C30" s="31" t="n"/>
      <c r="D30" s="31" t="n"/>
      <c r="E30" s="31" t="n"/>
      <c r="F30" s="32" t="n"/>
    </row>
    <row r="31" ht="23.25" customHeight="1" s="26">
      <c r="A31" s="33" t="n">
        <v>22</v>
      </c>
      <c r="B31" s="34" t="inlineStr">
        <is>
          <t>7</t>
        </is>
      </c>
      <c r="C31" s="34" t="inlineStr">
        <is>
          <t>Day 1 — Review window opens, employees &amp; managers notified</t>
        </is>
      </c>
      <c r="D31" s="37" t="inlineStr">
        <is>
          <t>Partial</t>
        </is>
      </c>
      <c r="E31" s="33" t="inlineStr">
        <is>
          <t>3</t>
        </is>
      </c>
      <c r="F31" s="34" t="inlineStr">
        <is>
          <t>Window logic exists, auto-notify not built</t>
        </is>
      </c>
    </row>
    <row r="32" ht="15" customHeight="1" s="26">
      <c r="A32" s="33" t="n">
        <v>23</v>
      </c>
      <c r="B32" s="34" t="inlineStr">
        <is>
          <t>7</t>
        </is>
      </c>
      <c r="C32" s="34" t="inlineStr">
        <is>
          <t>Day 1–5 — Employee self-scores all dimensions</t>
        </is>
      </c>
      <c r="D32" s="35" t="inlineStr">
        <is>
          <t>Done</t>
        </is>
      </c>
      <c r="E32" s="33" t="inlineStr">
        <is>
          <t>2C</t>
        </is>
      </c>
      <c r="F32" s="34" t="inlineStr">
        <is>
          <t>Self-score page + API</t>
        </is>
      </c>
    </row>
    <row r="33" ht="15" customHeight="1" s="26">
      <c r="A33" s="33" t="n">
        <v>24</v>
      </c>
      <c r="B33" s="34" t="inlineStr">
        <is>
          <t>7</t>
        </is>
      </c>
      <c r="C33" s="34" t="inlineStr">
        <is>
          <t>Day 1–10 — Manager scores each team member</t>
        </is>
      </c>
      <c r="D33" s="35" t="inlineStr">
        <is>
          <t>Done</t>
        </is>
      </c>
      <c r="E33" s="33" t="inlineStr">
        <is>
          <t>2C</t>
        </is>
      </c>
      <c r="F33" s="34" t="inlineStr">
        <is>
          <t>Score-team page + API</t>
        </is>
      </c>
    </row>
    <row r="34" ht="23.25" customHeight="1" s="26">
      <c r="A34" s="33" t="n">
        <v>25</v>
      </c>
      <c r="B34" s="34" t="inlineStr">
        <is>
          <t>7</t>
        </is>
      </c>
      <c r="C34" s="34" t="inlineStr">
        <is>
          <t>After scoring — Manager writes review notes + next month focus</t>
        </is>
      </c>
      <c r="D34" s="35" t="inlineStr">
        <is>
          <t>Done</t>
        </is>
      </c>
      <c r="E34" s="33" t="inlineStr">
        <is>
          <t>2D</t>
        </is>
      </c>
      <c r="F34" s="34" t="inlineStr">
        <is>
          <t>Stored in Review_Cycles</t>
        </is>
      </c>
    </row>
    <row r="35" ht="15" customHeight="1" s="26">
      <c r="A35" s="33" t="n">
        <v>26</v>
      </c>
      <c r="B35" s="34" t="inlineStr">
        <is>
          <t>7</t>
        </is>
      </c>
      <c r="C35" s="34" t="inlineStr">
        <is>
          <t>After manager submits — Employee acknowledges review</t>
        </is>
      </c>
      <c r="D35" s="35" t="inlineStr">
        <is>
          <t>Done</t>
        </is>
      </c>
      <c r="E35" s="33" t="inlineStr">
        <is>
          <t>2D</t>
        </is>
      </c>
      <c r="F35" s="34" t="inlineStr">
        <is>
          <t>Acknowledge API + My Review page</t>
        </is>
      </c>
    </row>
    <row r="36" ht="15" customHeight="1" s="26">
      <c r="A36" s="33" t="n">
        <v>27</v>
      </c>
      <c r="B36" s="34" t="inlineStr">
        <is>
          <t>7</t>
        </is>
      </c>
      <c r="C36" s="34" t="inlineStr">
        <is>
          <t>Day 3 — First auto reminder to non-scorers</t>
        </is>
      </c>
      <c r="D36" s="36" t="inlineStr">
        <is>
          <t>Not Built</t>
        </is>
      </c>
      <c r="E36" s="33" t="inlineStr">
        <is>
          <t>3</t>
        </is>
      </c>
      <c r="F36" s="34" t="inlineStr">
        <is>
          <t>Needs scheduled job</t>
        </is>
      </c>
    </row>
    <row r="37" ht="15" customHeight="1" s="26">
      <c r="A37" s="33" t="n">
        <v>28</v>
      </c>
      <c r="B37" s="34" t="inlineStr">
        <is>
          <t>7</t>
        </is>
      </c>
      <c r="C37" s="34" t="inlineStr">
        <is>
          <t>Day 6 — Second auto reminder</t>
        </is>
      </c>
      <c r="D37" s="36" t="inlineStr">
        <is>
          <t>Not Built</t>
        </is>
      </c>
      <c r="E37" s="33" t="inlineStr">
        <is>
          <t>3</t>
        </is>
      </c>
      <c r="F37" s="34" t="inlineStr">
        <is>
          <t>Needs scheduled job</t>
        </is>
      </c>
    </row>
    <row r="38" ht="15" customHeight="1" s="26">
      <c r="A38" s="33" t="n">
        <v>29</v>
      </c>
      <c r="B38" s="34" t="inlineStr">
        <is>
          <t>7</t>
        </is>
      </c>
      <c r="C38" s="34" t="inlineStr">
        <is>
          <t>Day 7 — Pending reviews visible to HR</t>
        </is>
      </c>
      <c r="D38" s="37" t="inlineStr">
        <is>
          <t>Partial</t>
        </is>
      </c>
      <c r="E38" s="33" t="inlineStr">
        <is>
          <t>2D</t>
        </is>
      </c>
      <c r="F38" s="34" t="inlineStr">
        <is>
          <t>HR Monitor page shows all statuses</t>
        </is>
      </c>
    </row>
    <row r="39" ht="15" customHeight="1" s="26">
      <c r="A39" s="33" t="n">
        <v>30</v>
      </c>
      <c r="B39" s="34" t="inlineStr">
        <is>
          <t>7</t>
        </is>
      </c>
      <c r="C39" s="34" t="inlineStr">
        <is>
          <t>Day 10 — Pending visible to MD, affects manager's own score</t>
        </is>
      </c>
      <c r="D39" s="36" t="inlineStr">
        <is>
          <t>Not Built</t>
        </is>
      </c>
      <c r="E39" s="33" t="inlineStr">
        <is>
          <t>3</t>
        </is>
      </c>
      <c r="F39" s="34" t="inlineStr">
        <is>
          <t>Needs exec dashboard + penalty logic</t>
        </is>
      </c>
    </row>
    <row r="40" ht="15" customHeight="1" s="26">
      <c r="A40" s="33" t="n">
        <v>31</v>
      </c>
      <c r="B40" s="34" t="inlineStr">
        <is>
          <t>7</t>
        </is>
      </c>
      <c r="C40" s="34" t="inlineStr">
        <is>
          <t>Day 11 — Window closes, scores locked for the month</t>
        </is>
      </c>
      <c r="D40" s="36" t="inlineStr">
        <is>
          <t>Not Built</t>
        </is>
      </c>
      <c r="E40" s="33" t="inlineStr">
        <is>
          <t>3</t>
        </is>
      </c>
      <c r="F40" s="34" t="inlineStr">
        <is>
          <t>Manual lock exists, auto-lock not built</t>
        </is>
      </c>
    </row>
    <row r="41" ht="15" customHeight="1" s="26">
      <c r="A41" s="33" t="n">
        <v>32</v>
      </c>
      <c r="B41" s="34" t="inlineStr">
        <is>
          <t>7.1</t>
        </is>
      </c>
      <c r="C41" s="34" t="inlineStr">
        <is>
          <t>Self-score: ≥2 point gap flagged for discussion</t>
        </is>
      </c>
      <c r="D41" s="35" t="inlineStr">
        <is>
          <t>Done</t>
        </is>
      </c>
      <c r="E41" s="33" t="inlineStr">
        <is>
          <t>2D</t>
        </is>
      </c>
      <c r="F41" s="34" t="inlineStr">
        <is>
          <t>Flagged_Dimensions in Review_Cycles</t>
        </is>
      </c>
    </row>
    <row r="42" ht="15" customHeight="1" s="26">
      <c r="A42" s="33" t="n">
        <v>33</v>
      </c>
      <c r="B42" s="34" t="inlineStr">
        <is>
          <t>7.2</t>
        </is>
      </c>
      <c r="C42" s="34" t="inlineStr">
        <is>
          <t>AI validation of review notes (harsh/vague/unconstructive)</t>
        </is>
      </c>
      <c r="D42" s="35" t="inlineStr">
        <is>
          <t>Done</t>
        </is>
      </c>
      <c r="E42" s="33" t="inlineStr">
        <is>
          <t>2D</t>
        </is>
      </c>
      <c r="F42" s="34" t="inlineStr">
        <is>
          <t>ai-review.ts + validate-notes API</t>
        </is>
      </c>
    </row>
    <row r="43" ht="15" customHeight="1" s="26">
      <c r="A43" s="33" t="n">
        <v>34</v>
      </c>
      <c r="B43" s="34" t="inlineStr">
        <is>
          <t>7.3</t>
        </is>
      </c>
      <c r="C43" s="34" t="inlineStr">
        <is>
          <t>Weekly context shown in monthly scoring screen</t>
        </is>
      </c>
      <c r="D43" s="35" t="inlineStr">
        <is>
          <t>Done</t>
        </is>
      </c>
      <c r="E43" s="33" t="inlineStr">
        <is>
          <t>2D</t>
        </is>
      </c>
      <c r="F43" s="34" t="inlineStr">
        <is>
          <t>weekly-context API + collapsible UI</t>
        </is>
      </c>
    </row>
    <row r="44" ht="21.75" customHeight="1" s="26">
      <c r="A44" s="30" t="inlineStr">
        <is>
          <t>SOP 8. Increments — Annual Increment Process</t>
        </is>
      </c>
      <c r="B44" s="31" t="n"/>
      <c r="C44" s="31" t="n"/>
      <c r="D44" s="31" t="n"/>
      <c r="E44" s="31" t="n"/>
      <c r="F44" s="32" t="n"/>
    </row>
    <row r="45" ht="15" customHeight="1" s="26">
      <c r="A45" s="33" t="n">
        <v>35</v>
      </c>
      <c r="B45" s="34" t="inlineStr">
        <is>
          <t>8</t>
        </is>
      </c>
      <c r="C45" s="34" t="inlineStr">
        <is>
          <t>12-month average score calculation</t>
        </is>
      </c>
      <c r="D45" s="36" t="inlineStr">
        <is>
          <t>Not Built</t>
        </is>
      </c>
      <c r="E45" s="33" t="inlineStr">
        <is>
          <t>5</t>
        </is>
      </c>
      <c r="F45" s="34" t="n"/>
    </row>
    <row r="46" ht="15" customHeight="1" s="26">
      <c r="A46" s="33" t="n">
        <v>36</v>
      </c>
      <c r="B46" s="34" t="inlineStr">
        <is>
          <t>8</t>
        </is>
      </c>
      <c r="C46" s="34" t="inlineStr">
        <is>
          <t>MD sets increment percentage bands before April 1</t>
        </is>
      </c>
      <c r="D46" s="36" t="inlineStr">
        <is>
          <t>Not Built</t>
        </is>
      </c>
      <c r="E46" s="33" t="inlineStr">
        <is>
          <t>5</t>
        </is>
      </c>
      <c r="F46" s="34" t="n"/>
    </row>
    <row r="47" ht="15" customHeight="1" s="26">
      <c r="A47" s="33" t="n">
        <v>37</v>
      </c>
      <c r="B47" s="34" t="inlineStr">
        <is>
          <t>8</t>
        </is>
      </c>
      <c r="C47" s="34" t="inlineStr">
        <is>
          <t>HR computes individual increments per band</t>
        </is>
      </c>
      <c r="D47" s="36" t="inlineStr">
        <is>
          <t>Not Built</t>
        </is>
      </c>
      <c r="E47" s="33" t="inlineStr">
        <is>
          <t>5</t>
        </is>
      </c>
      <c r="F47" s="34" t="n"/>
    </row>
    <row r="48" ht="15" customHeight="1" s="26">
      <c r="A48" s="33" t="n">
        <v>38</v>
      </c>
      <c r="B48" s="34" t="inlineStr">
        <is>
          <t>8</t>
        </is>
      </c>
      <c r="C48" s="34" t="inlineStr">
        <is>
          <t>MD approves full increment sheet</t>
        </is>
      </c>
      <c r="D48" s="36" t="inlineStr">
        <is>
          <t>Not Built</t>
        </is>
      </c>
      <c r="E48" s="33" t="inlineStr">
        <is>
          <t>5</t>
        </is>
      </c>
      <c r="F48" s="34" t="n"/>
    </row>
    <row r="49" ht="15" customHeight="1" s="26">
      <c r="A49" s="33" t="n">
        <v>39</v>
      </c>
      <c r="B49" s="34" t="inlineStr">
        <is>
          <t>8</t>
        </is>
      </c>
      <c r="C49" s="34" t="inlineStr">
        <is>
          <t>Increment letter generation</t>
        </is>
      </c>
      <c r="D49" s="36" t="inlineStr">
        <is>
          <t>Not Built</t>
        </is>
      </c>
      <c r="E49" s="33" t="inlineStr">
        <is>
          <t>5</t>
        </is>
      </c>
      <c r="F49" s="34" t="n"/>
    </row>
    <row r="50" ht="21.75" customHeight="1" s="26">
      <c r="A50" s="30" t="inlineStr">
        <is>
          <t>SOP 9. First Login — First Login Experience</t>
        </is>
      </c>
      <c r="B50" s="31" t="n"/>
      <c r="C50" s="31" t="n"/>
      <c r="D50" s="31" t="n"/>
      <c r="E50" s="31" t="n"/>
      <c r="F50" s="32" t="n"/>
    </row>
    <row r="51" ht="15" customHeight="1" s="26">
      <c r="A51" s="33" t="n">
        <v>40</v>
      </c>
      <c r="B51" s="34" t="inlineStr">
        <is>
          <t>9</t>
        </is>
      </c>
      <c r="C51" s="34" t="inlineStr">
        <is>
          <t>One-time welcome screen explaining Crystal People</t>
        </is>
      </c>
      <c r="D51" s="35" t="inlineStr">
        <is>
          <t>Done</t>
        </is>
      </c>
      <c r="E51" s="33" t="inlineStr">
        <is>
          <t>1</t>
        </is>
      </c>
      <c r="F51" s="34" t="inlineStr">
        <is>
          <t>First_Login_Done flag + password change</t>
        </is>
      </c>
    </row>
    <row r="52" ht="21.75" customHeight="1" s="26">
      <c r="A52" s="30" t="inlineStr">
        <is>
          <t>SOP 10. Org Mgmt — Org Management</t>
        </is>
      </c>
      <c r="B52" s="31" t="n"/>
      <c r="C52" s="31" t="n"/>
      <c r="D52" s="31" t="n"/>
      <c r="E52" s="31" t="n"/>
      <c r="F52" s="32" t="n"/>
    </row>
    <row r="53" ht="15" customHeight="1" s="26">
      <c r="A53" s="33" t="n">
        <v>41</v>
      </c>
      <c r="B53" s="34" t="inlineStr">
        <is>
          <t>10</t>
        </is>
      </c>
      <c r="C53" s="34" t="inlineStr">
        <is>
          <t>Excel upload for bulk employee setup/changes</t>
        </is>
      </c>
      <c r="D53" s="36" t="inlineStr">
        <is>
          <t>Not Built</t>
        </is>
      </c>
      <c r="E53" s="33" t="inlineStr">
        <is>
          <t>4</t>
        </is>
      </c>
      <c r="F53" s="34" t="n"/>
    </row>
    <row r="54" ht="15" customHeight="1" s="26">
      <c r="A54" s="33" t="n">
        <v>42</v>
      </c>
      <c r="B54" s="34" t="inlineStr">
        <is>
          <t>10</t>
        </is>
      </c>
      <c r="C54" s="34" t="inlineStr">
        <is>
          <t>Quick edit — HR searches and edits any employee field</t>
        </is>
      </c>
      <c r="D54" s="35" t="inlineStr">
        <is>
          <t>Done</t>
        </is>
      </c>
      <c r="E54" s="33" t="inlineStr">
        <is>
          <t>2A</t>
        </is>
      </c>
      <c r="F54" s="34" t="inlineStr">
        <is>
          <t>Employee edit page + PATCH API</t>
        </is>
      </c>
    </row>
    <row r="55" ht="15" customHeight="1" s="26">
      <c r="A55" s="33" t="n">
        <v>43</v>
      </c>
      <c r="B55" s="34" t="inlineStr">
        <is>
          <t>10</t>
        </is>
      </c>
      <c r="C55" s="34" t="inlineStr">
        <is>
          <t>New joiner before 15th — current month cycle</t>
        </is>
      </c>
      <c r="D55" s="36" t="inlineStr">
        <is>
          <t>Not Built</t>
        </is>
      </c>
      <c r="E55" s="33" t="inlineStr">
        <is>
          <t>6</t>
        </is>
      </c>
      <c r="F55" s="34" t="inlineStr">
        <is>
          <t>Edge case logic</t>
        </is>
      </c>
    </row>
    <row r="56" ht="15" customHeight="1" s="26">
      <c r="A56" s="33" t="n">
        <v>44</v>
      </c>
      <c r="B56" s="34" t="inlineStr">
        <is>
          <t>10</t>
        </is>
      </c>
      <c r="C56" s="34" t="inlineStr">
        <is>
          <t>New joiner after 15th — starts next month</t>
        </is>
      </c>
      <c r="D56" s="36" t="inlineStr">
        <is>
          <t>Not Built</t>
        </is>
      </c>
      <c r="E56" s="33" t="inlineStr">
        <is>
          <t>6</t>
        </is>
      </c>
      <c r="F56" s="34" t="inlineStr">
        <is>
          <t>Edge case logic</t>
        </is>
      </c>
    </row>
    <row r="57" ht="15" customHeight="1" s="26">
      <c r="A57" s="33" t="n">
        <v>45</v>
      </c>
      <c r="B57" s="34" t="inlineStr">
        <is>
          <t>10</t>
        </is>
      </c>
      <c r="C57" s="34" t="inlineStr">
        <is>
          <t>Employee exit — marked inactive, history preserved</t>
        </is>
      </c>
      <c r="D57" s="37" t="inlineStr">
        <is>
          <t>Partial</t>
        </is>
      </c>
      <c r="E57" s="33" t="inlineStr">
        <is>
          <t>2A</t>
        </is>
      </c>
      <c r="F57" s="34" t="inlineStr">
        <is>
          <t>Status field exists, no dedicated exit flow</t>
        </is>
      </c>
    </row>
    <row r="58" ht="15" customHeight="1" s="26">
      <c r="A58" s="33" t="n">
        <v>46</v>
      </c>
      <c r="B58" s="34" t="inlineStr">
        <is>
          <t>10</t>
        </is>
      </c>
      <c r="C58" s="34" t="inlineStr">
        <is>
          <t>Reporting change — effective next month</t>
        </is>
      </c>
      <c r="D58" s="36" t="inlineStr">
        <is>
          <t>Not Built</t>
        </is>
      </c>
      <c r="E58" s="33" t="inlineStr">
        <is>
          <t>6</t>
        </is>
      </c>
      <c r="F58" s="34" t="inlineStr">
        <is>
          <t>Edge case logic</t>
        </is>
      </c>
    </row>
    <row r="59" ht="15" customHeight="1" s="26">
      <c r="A59" s="33" t="n">
        <v>47</v>
      </c>
      <c r="B59" s="34" t="inlineStr">
        <is>
          <t>10</t>
        </is>
      </c>
      <c r="C59" s="34" t="inlineStr">
        <is>
          <t>Manager exits — team flagged unassigned</t>
        </is>
      </c>
      <c r="D59" s="36" t="inlineStr">
        <is>
          <t>Not Built</t>
        </is>
      </c>
      <c r="E59" s="33" t="inlineStr">
        <is>
          <t>6</t>
        </is>
      </c>
      <c r="F59" s="34" t="inlineStr">
        <is>
          <t>Edge case logic</t>
        </is>
      </c>
    </row>
    <row r="60" ht="15" customHeight="1" s="26">
      <c r="A60" s="33" t="n">
        <v>48</v>
      </c>
      <c r="B60" s="34" t="inlineStr">
        <is>
          <t>10</t>
        </is>
      </c>
      <c r="C60" s="34" t="inlineStr">
        <is>
          <t>All org changes auto-logged (what, who, when)</t>
        </is>
      </c>
      <c r="D60" s="35" t="inlineStr">
        <is>
          <t>Done</t>
        </is>
      </c>
      <c r="E60" s="33" t="inlineStr">
        <is>
          <t>2A</t>
        </is>
      </c>
      <c r="F60" s="34" t="inlineStr">
        <is>
          <t>Org_Changes sheet + API</t>
        </is>
      </c>
    </row>
    <row r="61" ht="21.75" customHeight="1" s="26">
      <c r="A61" s="30" t="inlineStr">
        <is>
          <t>SOP 11. Controls — Key Controls</t>
        </is>
      </c>
      <c r="B61" s="31" t="n"/>
      <c r="C61" s="31" t="n"/>
      <c r="D61" s="31" t="n"/>
      <c r="E61" s="31" t="n"/>
      <c r="F61" s="32" t="n"/>
    </row>
    <row r="62" ht="15" customHeight="1" s="26">
      <c r="A62" s="33" t="n">
        <v>49</v>
      </c>
      <c r="B62" s="34" t="inlineStr">
        <is>
          <t>11</t>
        </is>
      </c>
      <c r="C62" s="34" t="inlineStr">
        <is>
          <t>No employee may score themselves without manager scoring</t>
        </is>
      </c>
      <c r="D62" s="35" t="inlineStr">
        <is>
          <t>Done</t>
        </is>
      </c>
      <c r="E62" s="33" t="inlineStr">
        <is>
          <t>2C</t>
        </is>
      </c>
      <c r="F62" s="34" t="inlineStr">
        <is>
          <t>Status flow enforced</t>
        </is>
      </c>
    </row>
    <row r="63" ht="15" customHeight="1" s="26">
      <c r="A63" s="33" t="n">
        <v>50</v>
      </c>
      <c r="B63" s="34" t="inlineStr">
        <is>
          <t>11</t>
        </is>
      </c>
      <c r="C63" s="34" t="inlineStr">
        <is>
          <t>No increment without MD written approval</t>
        </is>
      </c>
      <c r="D63" s="36" t="inlineStr">
        <is>
          <t>Not Built</t>
        </is>
      </c>
      <c r="E63" s="33" t="inlineStr">
        <is>
          <t>5</t>
        </is>
      </c>
      <c r="F63" s="34" t="inlineStr">
        <is>
          <t>Increment feature pending</t>
        </is>
      </c>
    </row>
    <row r="64" ht="15" customHeight="1" s="26">
      <c r="A64" s="33" t="n">
        <v>51</v>
      </c>
      <c r="B64" s="34" t="inlineStr">
        <is>
          <t>11</t>
        </is>
      </c>
      <c r="C64" s="34" t="inlineStr">
        <is>
          <t>All cycles must be completed + acknowledged before lock</t>
        </is>
      </c>
      <c r="D64" s="35" t="inlineStr">
        <is>
          <t>Done</t>
        </is>
      </c>
      <c r="E64" s="33" t="inlineStr">
        <is>
          <t>2D</t>
        </is>
      </c>
      <c r="F64" s="34" t="inlineStr">
        <is>
          <t>Lock requires manager_scored or acknowledged</t>
        </is>
      </c>
    </row>
    <row r="65" ht="15" customHeight="1" s="26">
      <c r="A65" s="33" t="n">
        <v>52</v>
      </c>
      <c r="B65" s="34" t="inlineStr">
        <is>
          <t>11</t>
        </is>
      </c>
      <c r="C65" s="34" t="inlineStr">
        <is>
          <t>Manager penalty if team reviews not done by Day 10</t>
        </is>
      </c>
      <c r="D65" s="36" t="inlineStr">
        <is>
          <t>Not Built</t>
        </is>
      </c>
      <c r="E65" s="33" t="inlineStr">
        <is>
          <t>3</t>
        </is>
      </c>
      <c r="F65" s="34" t="inlineStr">
        <is>
          <t>Needs penalty logic</t>
        </is>
      </c>
    </row>
    <row r="66" ht="15" customHeight="1" s="26">
      <c r="A66" s="33" t="n">
        <v>53</v>
      </c>
      <c r="B66" s="34" t="inlineStr">
        <is>
          <t>11</t>
        </is>
      </c>
      <c r="C66" s="34" t="inlineStr">
        <is>
          <t>Rating 1 employees = no increment (MD exception only)</t>
        </is>
      </c>
      <c r="D66" s="36" t="inlineStr">
        <is>
          <t>Not Built</t>
        </is>
      </c>
      <c r="E66" s="33" t="inlineStr">
        <is>
          <t>5</t>
        </is>
      </c>
      <c r="F66" s="34" t="inlineStr">
        <is>
          <t>Increment feature pending</t>
        </is>
      </c>
    </row>
    <row r="67" ht="15" customHeight="1" s="26">
      <c r="A67" s="33" t="n">
        <v>54</v>
      </c>
      <c r="B67" s="34" t="inlineStr">
        <is>
          <t>11</t>
        </is>
      </c>
      <c r="C67" s="34" t="inlineStr">
        <is>
          <t>Increment amounts strictly confidential between employees</t>
        </is>
      </c>
      <c r="D67" s="36" t="inlineStr">
        <is>
          <t>Not Built</t>
        </is>
      </c>
      <c r="E67" s="33" t="inlineStr">
        <is>
          <t>5</t>
        </is>
      </c>
      <c r="F67" s="34" t="inlineStr">
        <is>
          <t>Increment feature pending</t>
        </is>
      </c>
    </row>
    <row r="68" ht="15" customHeight="1" s="26">
      <c r="A68" s="33" t="n">
        <v>55</v>
      </c>
      <c r="B68" s="34" t="inlineStr">
        <is>
          <t>11</t>
        </is>
      </c>
      <c r="C68" s="34" t="inlineStr">
        <is>
          <t>Manager concern flags never visible to employee</t>
        </is>
      </c>
      <c r="D68" s="35" t="inlineStr">
        <is>
          <t>Done</t>
        </is>
      </c>
      <c r="E68" s="33" t="inlineStr">
        <is>
          <t>2B</t>
        </is>
      </c>
      <c r="F68" s="34" t="inlineStr">
        <is>
          <t>Filtered in API</t>
        </is>
      </c>
    </row>
    <row r="69" ht="21.75" customHeight="1" s="26">
      <c r="A69" s="30" t="inlineStr">
        <is>
          <t>SOP 12. Escalation — Escalation Matrix</t>
        </is>
      </c>
      <c r="B69" s="31" t="n"/>
      <c r="C69" s="31" t="n"/>
      <c r="D69" s="31" t="n"/>
      <c r="E69" s="31" t="n"/>
      <c r="F69" s="32" t="n"/>
    </row>
    <row r="70" ht="15" customHeight="1" s="26">
      <c r="A70" s="33" t="n">
        <v>56</v>
      </c>
      <c r="B70" s="34" t="inlineStr">
        <is>
          <t>12</t>
        </is>
      </c>
      <c r="C70" s="34" t="inlineStr">
        <is>
          <t>Employee disputes rating — HR mediates within 3 days</t>
        </is>
      </c>
      <c r="D70" s="36" t="inlineStr">
        <is>
          <t>Not Built</t>
        </is>
      </c>
      <c r="E70" s="33" t="inlineStr">
        <is>
          <t>6</t>
        </is>
      </c>
      <c r="F70" s="34" t="n"/>
    </row>
    <row r="71" ht="15" customHeight="1" s="26">
      <c r="A71" s="33" t="n">
        <v>57</v>
      </c>
      <c r="B71" s="34" t="inlineStr">
        <is>
          <t>12</t>
        </is>
      </c>
      <c r="C71" s="34" t="inlineStr">
        <is>
          <t>Manager misses review deadline — HR escalates to dept head</t>
        </is>
      </c>
      <c r="D71" s="36" t="inlineStr">
        <is>
          <t>Not Built</t>
        </is>
      </c>
      <c r="E71" s="33" t="inlineStr">
        <is>
          <t>3</t>
        </is>
      </c>
      <c r="F71" s="34" t="n"/>
    </row>
    <row r="72" ht="15" customHeight="1" s="26">
      <c r="A72" s="33" t="n">
        <v>58</v>
      </c>
      <c r="B72" s="34" t="inlineStr">
        <is>
          <t>12</t>
        </is>
      </c>
      <c r="C72" s="34" t="inlineStr">
        <is>
          <t>Employee misses reflection — auto reminder + HR visibility</t>
        </is>
      </c>
      <c r="D72" s="36" t="inlineStr">
        <is>
          <t>Not Built</t>
        </is>
      </c>
      <c r="E72" s="33" t="inlineStr">
        <is>
          <t>3</t>
        </is>
      </c>
      <c r="F72" s="34" t="n"/>
    </row>
    <row r="73" ht="15" customHeight="1" s="26">
      <c r="A73" s="33" t="n">
        <v>59</v>
      </c>
      <c r="B73" s="34" t="inlineStr">
        <is>
          <t>12</t>
        </is>
      </c>
      <c r="C73" s="34" t="inlineStr">
        <is>
          <t>Goal/task change request — HR facilitates discussion</t>
        </is>
      </c>
      <c r="D73" s="36" t="inlineStr">
        <is>
          <t>Not Built</t>
        </is>
      </c>
      <c r="E73" s="33" t="inlineStr">
        <is>
          <t>6</t>
        </is>
      </c>
      <c r="F73" s="34" t="n"/>
    </row>
    <row r="74" ht="15" customHeight="1" s="26">
      <c r="A74" s="33" t="n">
        <v>60</v>
      </c>
      <c r="B74" s="34" t="inlineStr">
        <is>
          <t>12</t>
        </is>
      </c>
      <c r="C74" s="34" t="inlineStr">
        <is>
          <t>Increment budget exceeded — HR presents to MD</t>
        </is>
      </c>
      <c r="D74" s="36" t="inlineStr">
        <is>
          <t>Not Built</t>
        </is>
      </c>
      <c r="E74" s="33" t="inlineStr">
        <is>
          <t>5</t>
        </is>
      </c>
      <c r="F74" s="34" t="n"/>
    </row>
    <row r="75" ht="23.25" customHeight="1" s="26">
      <c r="A75" s="33" t="n">
        <v>61</v>
      </c>
      <c r="B75" s="34" t="inlineStr">
        <is>
          <t>12</t>
        </is>
      </c>
      <c r="C75" s="34" t="inlineStr">
        <is>
          <t>Employee refuses to acknowledge — HR documents, MD notified</t>
        </is>
      </c>
      <c r="D75" s="36" t="inlineStr">
        <is>
          <t>Not Built</t>
        </is>
      </c>
      <c r="E75" s="33" t="inlineStr">
        <is>
          <t>6</t>
        </is>
      </c>
      <c r="F75" s="34" t="n"/>
    </row>
    <row r="76" ht="21.75" customHeight="1" s="26">
      <c r="A76" s="30" t="inlineStr">
        <is>
          <t>SOP 13. Backend — Google Sheets Backend Structure</t>
        </is>
      </c>
      <c r="B76" s="31" t="n"/>
      <c r="C76" s="31" t="n"/>
      <c r="D76" s="31" t="n"/>
      <c r="E76" s="31" t="n"/>
      <c r="F76" s="32" t="n"/>
    </row>
    <row r="77" ht="15" customHeight="1" s="26">
      <c r="A77" s="33" t="n">
        <v>62</v>
      </c>
      <c r="B77" s="34" t="inlineStr">
        <is>
          <t>13</t>
        </is>
      </c>
      <c r="C77" s="34" t="inlineStr">
        <is>
          <t>Employees sheet</t>
        </is>
      </c>
      <c r="D77" s="35" t="inlineStr">
        <is>
          <t>Done</t>
        </is>
      </c>
      <c r="E77" s="33" t="inlineStr">
        <is>
          <t>1</t>
        </is>
      </c>
      <c r="F77" s="34" t="inlineStr">
        <is>
          <t>14 columns</t>
        </is>
      </c>
    </row>
    <row r="78" ht="15" customHeight="1" s="26">
      <c r="A78" s="33" t="n">
        <v>63</v>
      </c>
      <c r="B78" s="34" t="inlineStr">
        <is>
          <t>13</t>
        </is>
      </c>
      <c r="C78" s="34" t="inlineStr">
        <is>
          <t>Managers sheet</t>
        </is>
      </c>
      <c r="D78" s="35" t="inlineStr">
        <is>
          <t>Done</t>
        </is>
      </c>
      <c r="E78" s="33" t="inlineStr">
        <is>
          <t>1</t>
        </is>
      </c>
      <c r="F78" s="34" t="inlineStr">
        <is>
          <t>Manager-Employee lookup</t>
        </is>
      </c>
    </row>
    <row r="79" ht="15" customHeight="1" s="26">
      <c r="A79" s="33" t="n">
        <v>64</v>
      </c>
      <c r="B79" s="34" t="inlineStr">
        <is>
          <t>13</t>
        </is>
      </c>
      <c r="C79" s="34" t="inlineStr">
        <is>
          <t>Review_Cycles sheet</t>
        </is>
      </c>
      <c r="D79" s="35" t="inlineStr">
        <is>
          <t>Done</t>
        </is>
      </c>
      <c r="E79" s="33" t="inlineStr">
        <is>
          <t>2C</t>
        </is>
      </c>
      <c r="F79" s="34" t="inlineStr">
        <is>
          <t>15 columns incl. AI flags</t>
        </is>
      </c>
    </row>
    <row r="80" ht="15" customHeight="1" s="26">
      <c r="A80" s="33" t="n">
        <v>65</v>
      </c>
      <c r="B80" s="34" t="inlineStr">
        <is>
          <t>13</t>
        </is>
      </c>
      <c r="C80" s="34" t="inlineStr">
        <is>
          <t>Goals sheet</t>
        </is>
      </c>
      <c r="D80" s="35" t="inlineStr">
        <is>
          <t>Done</t>
        </is>
      </c>
      <c r="E80" s="33" t="inlineStr">
        <is>
          <t>2C</t>
        </is>
      </c>
      <c r="F80" s="34" t="inlineStr">
        <is>
          <t>13 columns</t>
        </is>
      </c>
    </row>
    <row r="81" ht="15" customHeight="1" s="26">
      <c r="A81" s="33" t="n">
        <v>66</v>
      </c>
      <c r="B81" s="34" t="inlineStr">
        <is>
          <t>13</t>
        </is>
      </c>
      <c r="C81" s="34" t="inlineStr">
        <is>
          <t>Tasks sheet</t>
        </is>
      </c>
      <c r="D81" s="35" t="inlineStr">
        <is>
          <t>Done</t>
        </is>
      </c>
      <c r="E81" s="33" t="inlineStr">
        <is>
          <t>2C</t>
        </is>
      </c>
      <c r="F81" s="34" t="inlineStr">
        <is>
          <t>9 columns</t>
        </is>
      </c>
    </row>
    <row r="82" ht="15" customHeight="1" s="26">
      <c r="A82" s="33" t="n">
        <v>67</v>
      </c>
      <c r="B82" s="34" t="inlineStr">
        <is>
          <t>13</t>
        </is>
      </c>
      <c r="C82" s="34" t="inlineStr">
        <is>
          <t>Weekly_Reflections sheet</t>
        </is>
      </c>
      <c r="D82" s="35" t="inlineStr">
        <is>
          <t>Done</t>
        </is>
      </c>
      <c r="E82" s="33" t="inlineStr">
        <is>
          <t>2B</t>
        </is>
      </c>
      <c r="F82" s="34" t="inlineStr">
        <is>
          <t>9 columns</t>
        </is>
      </c>
    </row>
    <row r="83" ht="15" customHeight="1" s="26">
      <c r="A83" s="33" t="n">
        <v>68</v>
      </c>
      <c r="B83" s="34" t="inlineStr">
        <is>
          <t>13</t>
        </is>
      </c>
      <c r="C83" s="34" t="inlineStr">
        <is>
          <t>Weekly_Checkins sheet</t>
        </is>
      </c>
      <c r="D83" s="35" t="inlineStr">
        <is>
          <t>Done</t>
        </is>
      </c>
      <c r="E83" s="33" t="inlineStr">
        <is>
          <t>2B</t>
        </is>
      </c>
      <c r="F83" s="34" t="inlineStr">
        <is>
          <t>10 columns</t>
        </is>
      </c>
    </row>
    <row r="84" ht="15" customHeight="1" s="26">
      <c r="A84" s="33" t="n">
        <v>69</v>
      </c>
      <c r="B84" s="34" t="inlineStr">
        <is>
          <t>13</t>
        </is>
      </c>
      <c r="C84" s="34" t="inlineStr">
        <is>
          <t>Org_Changes sheet</t>
        </is>
      </c>
      <c r="D84" s="35" t="inlineStr">
        <is>
          <t>Done</t>
        </is>
      </c>
      <c r="E84" s="33" t="inlineStr">
        <is>
          <t>2A</t>
        </is>
      </c>
      <c r="F84" s="34" t="inlineStr">
        <is>
          <t>7 columns</t>
        </is>
      </c>
    </row>
    <row r="85" ht="15" customHeight="1" s="26">
      <c r="A85" s="33" t="n">
        <v>70</v>
      </c>
      <c r="B85" s="34" t="inlineStr">
        <is>
          <t>13</t>
        </is>
      </c>
      <c r="C85" s="34" t="inlineStr">
        <is>
          <t>Notifications sheet</t>
        </is>
      </c>
      <c r="D85" s="35" t="inlineStr">
        <is>
          <t>Done</t>
        </is>
      </c>
      <c r="E85" s="33" t="inlineStr">
        <is>
          <t>2D</t>
        </is>
      </c>
      <c r="F85" s="34" t="inlineStr">
        <is>
          <t>7 columns</t>
        </is>
      </c>
    </row>
    <row r="86" ht="15" customHeight="1" s="26">
      <c r="A86" s="33" t="n">
        <v>71</v>
      </c>
      <c r="B86" s="34" t="inlineStr">
        <is>
          <t>13</t>
        </is>
      </c>
      <c r="C86" s="34" t="inlineStr">
        <is>
          <t>Config sheet</t>
        </is>
      </c>
      <c r="D86" s="35" t="inlineStr">
        <is>
          <t>Done</t>
        </is>
      </c>
      <c r="E86" s="33" t="inlineStr">
        <is>
          <t>1</t>
        </is>
      </c>
      <c r="F86" s="34" t="inlineStr">
        <is>
          <t>Key-Value pairs</t>
        </is>
      </c>
    </row>
    <row r="87" ht="15" customHeight="1" s="26">
      <c r="A87" s="33" t="n">
        <v>72</v>
      </c>
      <c r="B87" s="34" t="inlineStr">
        <is>
          <t>13</t>
        </is>
      </c>
      <c r="C87" s="34" t="inlineStr">
        <is>
          <t>SEQUENCES sheet</t>
        </is>
      </c>
      <c r="D87" s="35" t="inlineStr">
        <is>
          <t>Done</t>
        </is>
      </c>
      <c r="E87" s="33" t="inlineStr">
        <is>
          <t>1</t>
        </is>
      </c>
      <c r="F87" s="34" t="inlineStr">
        <is>
          <t>Auto-increment IDs</t>
        </is>
      </c>
    </row>
    <row r="88" ht="15" customHeight="1" s="26"/>
    <row r="89" ht="15" customHeight="1" s="26">
      <c r="A89" s="38" t="inlineStr">
        <is>
          <t>Summary</t>
        </is>
      </c>
    </row>
    <row r="90" ht="15" customHeight="1" s="26">
      <c r="A90" s="39" t="inlineStr">
        <is>
          <t>Done</t>
        </is>
      </c>
      <c r="B90" s="32" t="n"/>
      <c r="C90" s="39">
        <f>COUNTIF(D5:D87,"Done")</f>
        <v/>
      </c>
    </row>
    <row r="91" ht="15" customHeight="1" s="26">
      <c r="A91" s="40" t="inlineStr">
        <is>
          <t>Partial</t>
        </is>
      </c>
      <c r="B91" s="32" t="n"/>
      <c r="C91" s="40">
        <f>COUNTIF(D5:D87,"Partial")</f>
        <v/>
      </c>
    </row>
    <row r="92" ht="15" customHeight="1" s="26">
      <c r="A92" s="41" t="inlineStr">
        <is>
          <t>Not Built</t>
        </is>
      </c>
      <c r="B92" s="32" t="n"/>
      <c r="C92" s="41">
        <f>COUNTIF(D5:D87,"Not Built")</f>
        <v/>
      </c>
    </row>
    <row r="93" ht="15" customHeight="1" s="26">
      <c r="A93" s="42" t="inlineStr">
        <is>
          <t>Total Items</t>
        </is>
      </c>
      <c r="B93" s="32" t="n"/>
      <c r="C93" s="42">
        <f>COUNTIF(D5:D87,"Done")+COUNTIF(D5:D87,"Partial")+COUNTIF(D5:D87,"Not Built")</f>
        <v/>
      </c>
    </row>
    <row r="94" ht="15" customHeight="1" s="26">
      <c r="A94" s="43" t="inlineStr">
        <is>
          <t>Completion %</t>
        </is>
      </c>
      <c r="B94" s="32" t="n"/>
      <c r="C94" s="43">
        <f>ROUND(COUNTIF(D5:D87,"Done")/(COUNTIF(D5:D87,"Done")+COUNTIF(D5:D87,"Partial")+COUNTIF(D5:D87,"Not Built"))*100,1)&amp;"%"</f>
        <v/>
      </c>
    </row>
    <row r="96" ht="15" customHeight="1" s="26">
      <c r="A96" s="38" t="inlineStr">
        <is>
          <t>Phase-wise Breakdown</t>
        </is>
      </c>
    </row>
    <row r="97" ht="15" customHeight="1" s="26">
      <c r="A97" s="44" t="inlineStr">
        <is>
          <t>Phase</t>
        </is>
      </c>
      <c r="B97" s="44" t="inlineStr">
        <is>
          <t>Description</t>
        </is>
      </c>
      <c r="C97" s="44" t="inlineStr">
        <is>
          <t>Items</t>
        </is>
      </c>
      <c r="D97" s="44" t="inlineStr">
        <is>
          <t>Done</t>
        </is>
      </c>
      <c r="E97" s="44" t="inlineStr">
        <is>
          <t>Status</t>
        </is>
      </c>
    </row>
    <row r="98" ht="15" customHeight="1" s="26">
      <c r="A98" s="45" t="inlineStr">
        <is>
          <t>1</t>
        </is>
      </c>
      <c r="B98" s="46" t="inlineStr">
        <is>
          <t>Foundation &amp; Auth</t>
        </is>
      </c>
      <c r="C98" s="47">
        <f>COUNTIF(E5:E87,"1")</f>
        <v/>
      </c>
      <c r="D98" s="47">
        <f>COUNTIFS(E5:E87,"1",D5:D87,"Done")</f>
        <v/>
      </c>
      <c r="E98" s="48">
        <f>IF(C98=0,"N/A",IF(C98=D98,"Complete",IF(D98=0,"Not Started","In Progress")))</f>
        <v/>
      </c>
    </row>
    <row r="99" ht="15" customHeight="1" s="26">
      <c r="A99" s="45" t="inlineStr">
        <is>
          <t>2A</t>
        </is>
      </c>
      <c r="B99" s="46" t="inlineStr">
        <is>
          <t>Employee &amp; Org Mgmt</t>
        </is>
      </c>
      <c r="C99" s="47">
        <f>COUNTIF(E5:E87,"2A")</f>
        <v/>
      </c>
      <c r="D99" s="47">
        <f>COUNTIFS(E5:E87,"2A",D5:D87,"Done")</f>
        <v/>
      </c>
      <c r="E99" s="48">
        <f>IF(C99=0,"N/A",IF(C99=D99,"Complete",IF(D99=0,"Not Started","In Progress")))</f>
        <v/>
      </c>
    </row>
    <row r="100" ht="15" customHeight="1" s="26">
      <c r="A100" s="45" t="inlineStr">
        <is>
          <t>2B</t>
        </is>
      </c>
      <c r="B100" s="46" t="inlineStr">
        <is>
          <t>Weekly Cycle</t>
        </is>
      </c>
      <c r="C100" s="47">
        <f>COUNTIF(E5:E87,"2B")</f>
        <v/>
      </c>
      <c r="D100" s="47">
        <f>COUNTIFS(E5:E87,"2B",D5:D87,"Done")</f>
        <v/>
      </c>
      <c r="E100" s="48">
        <f>IF(C100=0,"N/A",IF(C100=D100,"Complete",IF(D100=0,"Not Started","In Progress")))</f>
        <v/>
      </c>
    </row>
    <row r="101" ht="15" customHeight="1" s="26">
      <c r="A101" s="45" t="inlineStr">
        <is>
          <t>2C</t>
        </is>
      </c>
      <c r="B101" s="46" t="inlineStr">
        <is>
          <t>Monthly Scoring &amp; Tasks</t>
        </is>
      </c>
      <c r="C101" s="47">
        <f>COUNTIF(E5:E87,"2C")</f>
        <v/>
      </c>
      <c r="D101" s="47">
        <f>COUNTIFS(E5:E87,"2C",D5:D87,"Done")</f>
        <v/>
      </c>
      <c r="E101" s="48">
        <f>IF(C101=0,"N/A",IF(C101=D101,"Complete",IF(D101=0,"Not Started","In Progress")))</f>
        <v/>
      </c>
    </row>
    <row r="102" ht="15" customHeight="1" s="26">
      <c r="A102" s="45" t="inlineStr">
        <is>
          <t>2D</t>
        </is>
      </c>
      <c r="B102" s="46" t="inlineStr">
        <is>
          <t>Review Lifecycle &amp; Notifications</t>
        </is>
      </c>
      <c r="C102" s="47">
        <f>COUNTIF(E5:E87,"2D")</f>
        <v/>
      </c>
      <c r="D102" s="47">
        <f>COUNTIFS(E5:E87,"2D",D5:D87,"Done")</f>
        <v/>
      </c>
      <c r="E102" s="48">
        <f>IF(C102=0,"N/A",IF(C102=D102,"Complete",IF(D102=0,"Not Started","In Progress")))</f>
        <v/>
      </c>
    </row>
    <row r="103" ht="15" customHeight="1" s="26">
      <c r="A103" s="45" t="inlineStr">
        <is>
          <t>3</t>
        </is>
      </c>
      <c r="B103" s="46" t="inlineStr">
        <is>
          <t>Automation &amp; Escalation</t>
        </is>
      </c>
      <c r="C103" s="47">
        <f>COUNTIF(E5:E87,"3")</f>
        <v/>
      </c>
      <c r="D103" s="47">
        <f>COUNTIFS(E5:E87,"3",D5:D87,"Done")</f>
        <v/>
      </c>
      <c r="E103" s="48">
        <f>IF(C103=0,"N/A",IF(C103=D103,"Complete",IF(D103=0,"Not Started","In Progress")))</f>
        <v/>
      </c>
    </row>
    <row r="104" ht="15" customHeight="1" s="26">
      <c r="A104" s="45" t="inlineStr">
        <is>
          <t>4</t>
        </is>
      </c>
      <c r="B104" s="46" t="inlineStr">
        <is>
          <t>History, Feedback &amp; Reports</t>
        </is>
      </c>
      <c r="C104" s="47">
        <f>COUNTIF(E5:E87,"4")</f>
        <v/>
      </c>
      <c r="D104" s="47">
        <f>COUNTIFS(E5:E87,"4",D5:D87,"Done")</f>
        <v/>
      </c>
      <c r="E104" s="48">
        <f>IF(C104=0,"N/A",IF(C104=D104,"Complete",IF(D104=0,"Not Started","In Progress")))</f>
        <v/>
      </c>
    </row>
    <row r="105" ht="15" customHeight="1" s="26">
      <c r="A105" s="45" t="inlineStr">
        <is>
          <t>5</t>
        </is>
      </c>
      <c r="B105" s="46" t="inlineStr">
        <is>
          <t>Annual Increments</t>
        </is>
      </c>
      <c r="C105" s="47">
        <f>COUNTIF(E5:E87,"5")</f>
        <v/>
      </c>
      <c r="D105" s="47">
        <f>COUNTIFS(E5:E87,"5",D5:D87,"Done")</f>
        <v/>
      </c>
      <c r="E105" s="48">
        <f>IF(C105=0,"N/A",IF(C105=D105,"Complete",IF(D105=0,"Not Started","In Progress")))</f>
        <v/>
      </c>
    </row>
    <row r="106" ht="15" customHeight="1" s="26">
      <c r="A106" s="45" t="inlineStr">
        <is>
          <t>6</t>
        </is>
      </c>
      <c r="B106" s="46" t="inlineStr">
        <is>
          <t>Executive &amp; Edge Cases</t>
        </is>
      </c>
      <c r="C106" s="47">
        <f>COUNTIF(E5:E87,"6")</f>
        <v/>
      </c>
      <c r="D106" s="47">
        <f>COUNTIFS(E5:E87,"6",D5:D87,"Done")</f>
        <v/>
      </c>
      <c r="E106" s="48">
        <f>IF(C106=0,"N/A",IF(C106=D106,"Complete",IF(D106=0,"Not Started","In Progress")))</f>
        <v/>
      </c>
    </row>
  </sheetData>
  <mergeCells count="20">
    <mergeCell ref="A92:B92"/>
    <mergeCell ref="A89:F89"/>
    <mergeCell ref="A50:F50"/>
    <mergeCell ref="A94:B94"/>
    <mergeCell ref="A2:F2"/>
    <mergeCell ref="A76:F76"/>
    <mergeCell ref="A90:B90"/>
    <mergeCell ref="A5:F5"/>
    <mergeCell ref="A22:F22"/>
    <mergeCell ref="A96:F96"/>
    <mergeCell ref="A52:F52"/>
    <mergeCell ref="A19:F19"/>
    <mergeCell ref="A44:F44"/>
    <mergeCell ref="A9:F9"/>
    <mergeCell ref="A30:F30"/>
    <mergeCell ref="A91:B91"/>
    <mergeCell ref="A1:F1"/>
    <mergeCell ref="A61:F61"/>
    <mergeCell ref="A93:B93"/>
    <mergeCell ref="A69:F6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25" min="1" max="1"/>
    <col width="14" customWidth="1" style="25" min="2" max="2"/>
    <col width="52" customWidth="1" style="25" min="3" max="3"/>
    <col width="14" customWidth="1" style="25" min="4" max="4"/>
    <col width="12" customWidth="1" style="25" min="5" max="5"/>
    <col width="45" customWidth="1" style="25" min="6" max="6"/>
  </cols>
  <sheetData>
    <row r="1" ht="30" customHeight="1" s="26">
      <c r="A1" s="49" t="inlineStr">
        <is>
          <t>Crystal People — Completed Features</t>
        </is>
      </c>
    </row>
    <row r="2" ht="15" customHeight="1" s="26">
      <c r="A2" s="50" t="inlineStr">
        <is>
          <t>Total: 43 items</t>
        </is>
      </c>
    </row>
    <row r="4" ht="15" customHeight="1" s="26">
      <c r="A4" s="29" t="inlineStr">
        <is>
          <t>S.No</t>
        </is>
      </c>
      <c r="B4" s="29" t="inlineStr">
        <is>
          <t>SOP Section</t>
        </is>
      </c>
      <c r="C4" s="29" t="inlineStr">
        <is>
          <t>Feature / Requirement</t>
        </is>
      </c>
      <c r="D4" s="29" t="inlineStr">
        <is>
          <t>Status</t>
        </is>
      </c>
      <c r="E4" s="29" t="inlineStr">
        <is>
          <t>Phase</t>
        </is>
      </c>
      <c r="F4" s="29" t="inlineStr">
        <is>
          <t>Remarks</t>
        </is>
      </c>
    </row>
    <row r="5" ht="15" customHeight="1" s="26">
      <c r="A5" s="33" t="n">
        <v>1</v>
      </c>
      <c r="B5" s="34" t="inlineStr">
        <is>
          <t>3</t>
        </is>
      </c>
      <c r="C5" s="34" t="inlineStr">
        <is>
          <t>4 roles: Employee, Manager, HR, MD/CEO</t>
        </is>
      </c>
      <c r="D5" s="35" t="inlineStr">
        <is>
          <t>Done</t>
        </is>
      </c>
      <c r="E5" s="33" t="inlineStr">
        <is>
          <t>1</t>
        </is>
      </c>
      <c r="F5" s="34" t="inlineStr">
        <is>
          <t>JWT auth with role-based access</t>
        </is>
      </c>
    </row>
    <row r="6" ht="15" customHeight="1" s="26">
      <c r="A6" s="33" t="n">
        <v>2</v>
      </c>
      <c r="B6" s="34" t="inlineStr">
        <is>
          <t>3</t>
        </is>
      </c>
      <c r="C6" s="34" t="inlineStr">
        <is>
          <t>Role-based visibility (Can See / Can Do per role table)</t>
        </is>
      </c>
      <c r="D6" s="35" t="inlineStr">
        <is>
          <t>Done</t>
        </is>
      </c>
      <c r="E6" s="33" t="inlineStr">
        <is>
          <t>1</t>
        </is>
      </c>
      <c r="F6" s="34" t="inlineStr">
        <is>
          <t>Enforced in all API routes + sidebar</t>
        </is>
      </c>
    </row>
    <row r="7" ht="15" customHeight="1" s="26">
      <c r="A7" s="33" t="n">
        <v>3</v>
      </c>
      <c r="B7" s="34" t="inlineStr">
        <is>
          <t>3</t>
        </is>
      </c>
      <c r="C7" s="34" t="inlineStr">
        <is>
          <t>Key control: Employee cannot self-approve goals/ratings</t>
        </is>
      </c>
      <c r="D7" s="35" t="inlineStr">
        <is>
          <t>Done</t>
        </is>
      </c>
      <c r="E7" s="33" t="inlineStr">
        <is>
          <t>2C</t>
        </is>
      </c>
      <c r="F7" s="34" t="inlineStr">
        <is>
          <t>Manager and employee always different</t>
        </is>
      </c>
    </row>
    <row r="8" ht="15" customHeight="1" s="26">
      <c r="A8" s="33" t="n">
        <v>4</v>
      </c>
      <c r="B8" s="34" t="inlineStr">
        <is>
          <t>4.1</t>
        </is>
      </c>
      <c r="C8" s="34" t="inlineStr">
        <is>
          <t>White collar — scored against monthly goals</t>
        </is>
      </c>
      <c r="D8" s="35" t="inlineStr">
        <is>
          <t>Done</t>
        </is>
      </c>
      <c r="E8" s="33" t="inlineStr">
        <is>
          <t>2C</t>
        </is>
      </c>
      <c r="F8" s="34" t="inlineStr">
        <is>
          <t>Goals + 3 behaviours</t>
        </is>
      </c>
    </row>
    <row r="9" ht="15" customHeight="1" s="26">
      <c r="A9" s="33" t="n">
        <v>5</v>
      </c>
      <c r="B9" s="34" t="inlineStr">
        <is>
          <t>4.1</t>
        </is>
      </c>
      <c r="C9" s="34" t="inlineStr">
        <is>
          <t>Min 3, max 5 goals at all times</t>
        </is>
      </c>
      <c r="D9" s="35" t="inlineStr">
        <is>
          <t>Done</t>
        </is>
      </c>
      <c r="E9" s="33" t="inlineStr">
        <is>
          <t>2C</t>
        </is>
      </c>
      <c r="F9" s="34" t="inlineStr">
        <is>
          <t>Validated in goal API</t>
        </is>
      </c>
    </row>
    <row r="10" ht="15" customHeight="1" s="26">
      <c r="A10" s="33" t="n">
        <v>6</v>
      </c>
      <c r="B10" s="34" t="inlineStr">
        <is>
          <t>4.1</t>
        </is>
      </c>
      <c r="C10" s="34" t="inlineStr">
        <is>
          <t>Cannot drop below 3 without replacement</t>
        </is>
      </c>
      <c r="D10" s="35" t="inlineStr">
        <is>
          <t>Done</t>
        </is>
      </c>
      <c r="E10" s="33" t="inlineStr">
        <is>
          <t>2C</t>
        </is>
      </c>
      <c r="F10" s="34" t="inlineStr">
        <is>
          <t>Enforced in drop goal logic</t>
        </is>
      </c>
    </row>
    <row r="11" ht="15" customHeight="1" s="26">
      <c r="A11" s="33" t="n">
        <v>7</v>
      </c>
      <c r="B11" s="34" t="inlineStr">
        <is>
          <t>4.1</t>
        </is>
      </c>
      <c r="C11" s="34" t="inlineStr">
        <is>
          <t>Dropped goals require mandatory written reason</t>
        </is>
      </c>
      <c r="D11" s="35" t="inlineStr">
        <is>
          <t>Done</t>
        </is>
      </c>
      <c r="E11" s="33" t="inlineStr">
        <is>
          <t>2C</t>
        </is>
      </c>
      <c r="F11" s="34" t="inlineStr">
        <is>
          <t>Drop_Reason field required</t>
        </is>
      </c>
    </row>
    <row r="12" ht="15" customHeight="1" s="26">
      <c r="A12" s="33" t="n">
        <v>8</v>
      </c>
      <c r="B12" s="34" t="inlineStr">
        <is>
          <t>4.1</t>
        </is>
      </c>
      <c r="C12" s="34" t="inlineStr">
        <is>
          <t>New mid-month goals active immediately, scored next month</t>
        </is>
      </c>
      <c r="D12" s="35" t="inlineStr">
        <is>
          <t>Done</t>
        </is>
      </c>
      <c r="E12" s="33" t="inlineStr">
        <is>
          <t>2C</t>
        </is>
      </c>
      <c r="F12" s="34" t="inlineStr">
        <is>
          <t>Created_At tracked</t>
        </is>
      </c>
    </row>
    <row r="13" ht="15" customHeight="1" s="26">
      <c r="A13" s="33" t="n">
        <v>9</v>
      </c>
      <c r="B13" s="34" t="inlineStr">
        <is>
          <t>4.2</t>
        </is>
      </c>
      <c r="C13" s="34" t="inlineStr">
        <is>
          <t>Blue collar — fixed task scorecard</t>
        </is>
      </c>
      <c r="D13" s="35" t="inlineStr">
        <is>
          <t>Done</t>
        </is>
      </c>
      <c r="E13" s="33" t="inlineStr">
        <is>
          <t>2C</t>
        </is>
      </c>
      <c r="F13" s="34" t="inlineStr">
        <is>
          <t>Tasks sheet + scoring</t>
        </is>
      </c>
    </row>
    <row r="14" ht="15" customHeight="1" s="26">
      <c r="A14" s="33" t="n">
        <v>10</v>
      </c>
      <c r="B14" s="34" t="inlineStr">
        <is>
          <t>4.2</t>
        </is>
      </c>
      <c r="C14" s="34" t="inlineStr">
        <is>
          <t>3–5 tasks per employee, fixed for year</t>
        </is>
      </c>
      <c r="D14" s="35" t="inlineStr">
        <is>
          <t>Done</t>
        </is>
      </c>
      <c r="E14" s="33" t="inlineStr">
        <is>
          <t>2C</t>
        </is>
      </c>
      <c r="F14" s="34" t="inlineStr">
        <is>
          <t>Manager sets via Team Tasks UI</t>
        </is>
      </c>
    </row>
    <row r="15" ht="15" customHeight="1" s="26">
      <c r="A15" s="33" t="n">
        <v>11</v>
      </c>
      <c r="B15" s="34" t="inlineStr">
        <is>
          <t>4.2</t>
        </is>
      </c>
      <c r="C15" s="34" t="inlineStr">
        <is>
          <t>Each task scored 1–5 monthly by manager</t>
        </is>
      </c>
      <c r="D15" s="35" t="inlineStr">
        <is>
          <t>Done</t>
        </is>
      </c>
      <c r="E15" s="33" t="inlineStr">
        <is>
          <t>2C</t>
        </is>
      </c>
      <c r="F15" s="34" t="inlineStr">
        <is>
          <t>Monthly_Scores JSON in Tasks sheet</t>
        </is>
      </c>
    </row>
    <row r="16" ht="15" customHeight="1" s="26">
      <c r="A16" s="33" t="n">
        <v>12</v>
      </c>
      <c r="B16" s="34" t="inlineStr">
        <is>
          <t>4.3</t>
        </is>
      </c>
      <c r="C16" s="34" t="inlineStr">
        <is>
          <t>3 behavioural dimensions (Attendance, Teamwork, Ownership)</t>
        </is>
      </c>
      <c r="D16" s="35" t="inlineStr">
        <is>
          <t>Done</t>
        </is>
      </c>
      <c r="E16" s="33" t="inlineStr">
        <is>
          <t>2C</t>
        </is>
      </c>
      <c r="F16" s="34" t="inlineStr">
        <is>
          <t>BEHAVIOUR_DIMENSIONS constant</t>
        </is>
      </c>
    </row>
    <row r="17" ht="15" customHeight="1" s="26">
      <c r="A17" s="33" t="n">
        <v>13</v>
      </c>
      <c r="B17" s="34" t="inlineStr">
        <is>
          <t>5</t>
        </is>
      </c>
      <c r="C17" s="34" t="inlineStr">
        <is>
          <t>1–5 scale with labels (Outstanding → Unsatisfactory)</t>
        </is>
      </c>
      <c r="D17" s="35" t="inlineStr">
        <is>
          <t>Done</t>
        </is>
      </c>
      <c r="E17" s="33" t="inlineStr">
        <is>
          <t>2C</t>
        </is>
      </c>
      <c r="F17" s="34" t="inlineStr">
        <is>
          <t>getRatingBand() in utils.ts</t>
        </is>
      </c>
    </row>
    <row r="18" ht="15" customHeight="1" s="26">
      <c r="A18" s="33" t="n">
        <v>14</v>
      </c>
      <c r="B18" s="34" t="inlineStr">
        <is>
          <t>5</t>
        </is>
      </c>
      <c r="C18" s="34" t="inlineStr">
        <is>
          <t>Simple average of all dimensions, no weighting</t>
        </is>
      </c>
      <c r="D18" s="35" t="inlineStr">
        <is>
          <t>Done</t>
        </is>
      </c>
      <c r="E18" s="33" t="inlineStr">
        <is>
          <t>2C</t>
        </is>
      </c>
      <c r="F18" s="34" t="inlineStr">
        <is>
          <t>computeAverage() in utils.ts</t>
        </is>
      </c>
    </row>
    <row r="19" ht="15" customHeight="1" s="26">
      <c r="A19" s="33" t="n">
        <v>15</v>
      </c>
      <c r="B19" s="34" t="inlineStr">
        <is>
          <t>6.1</t>
        </is>
      </c>
      <c r="C19" s="34" t="inlineStr">
        <is>
          <t>Employee weekly reflection (4 fields + mood)</t>
        </is>
      </c>
      <c r="D19" s="35" t="inlineStr">
        <is>
          <t>Done</t>
        </is>
      </c>
      <c r="E19" s="33" t="inlineStr">
        <is>
          <t>2B</t>
        </is>
      </c>
      <c r="F19" s="34" t="inlineStr">
        <is>
          <t>Weekly_Reflections sheet</t>
        </is>
      </c>
    </row>
    <row r="20" ht="15" customHeight="1" s="26">
      <c r="A20" s="33" t="n">
        <v>16</v>
      </c>
      <c r="B20" s="34" t="inlineStr">
        <is>
          <t>6.2</t>
        </is>
      </c>
      <c r="C20" s="34" t="inlineStr">
        <is>
          <t>Manager weekly check-in (5 fields with visibility rules)</t>
        </is>
      </c>
      <c r="D20" s="35" t="inlineStr">
        <is>
          <t>Done</t>
        </is>
      </c>
      <c r="E20" s="33" t="inlineStr">
        <is>
          <t>2B</t>
        </is>
      </c>
      <c r="F20" s="34" t="inlineStr">
        <is>
          <t>Weekly_Checkins sheet</t>
        </is>
      </c>
    </row>
    <row r="21" ht="15" customHeight="1" s="26">
      <c r="A21" s="33" t="n">
        <v>17</v>
      </c>
      <c r="B21" s="34" t="inlineStr">
        <is>
          <t>6.2</t>
        </is>
      </c>
      <c r="C21" s="34" t="inlineStr">
        <is>
          <t>Concern field visible to HR/MD only, never to employee</t>
        </is>
      </c>
      <c r="D21" s="35" t="inlineStr">
        <is>
          <t>Done</t>
        </is>
      </c>
      <c r="E21" s="33" t="inlineStr">
        <is>
          <t>2B</t>
        </is>
      </c>
      <c r="F21" s="34" t="inlineStr">
        <is>
          <t>Filtered in API response</t>
        </is>
      </c>
    </row>
    <row r="22" ht="15" customHeight="1" s="26">
      <c r="A22" s="33" t="n">
        <v>18</v>
      </c>
      <c r="B22" s="34" t="inlineStr">
        <is>
          <t>6.3</t>
        </is>
      </c>
      <c r="C22" s="34" t="inlineStr">
        <is>
          <t>Employee acknowledgement of check-in</t>
        </is>
      </c>
      <c r="D22" s="35" t="inlineStr">
        <is>
          <t>Done</t>
        </is>
      </c>
      <c r="E22" s="33" t="inlineStr">
        <is>
          <t>2B</t>
        </is>
      </c>
      <c r="F22" s="34" t="inlineStr">
        <is>
          <t>Acknowledged_At in reflections</t>
        </is>
      </c>
    </row>
    <row r="23" ht="15" customHeight="1" s="26">
      <c r="A23" s="33" t="n">
        <v>23</v>
      </c>
      <c r="B23" s="34" t="inlineStr">
        <is>
          <t>7</t>
        </is>
      </c>
      <c r="C23" s="34" t="inlineStr">
        <is>
          <t>Day 1–5 — Employee self-scores all dimensions</t>
        </is>
      </c>
      <c r="D23" s="35" t="inlineStr">
        <is>
          <t>Done</t>
        </is>
      </c>
      <c r="E23" s="33" t="inlineStr">
        <is>
          <t>2C</t>
        </is>
      </c>
      <c r="F23" s="34" t="inlineStr">
        <is>
          <t>Self-score page + API</t>
        </is>
      </c>
    </row>
    <row r="24" ht="15" customHeight="1" s="26">
      <c r="A24" s="33" t="n">
        <v>24</v>
      </c>
      <c r="B24" s="34" t="inlineStr">
        <is>
          <t>7</t>
        </is>
      </c>
      <c r="C24" s="34" t="inlineStr">
        <is>
          <t>Day 1–10 — Manager scores each team member</t>
        </is>
      </c>
      <c r="D24" s="35" t="inlineStr">
        <is>
          <t>Done</t>
        </is>
      </c>
      <c r="E24" s="33" t="inlineStr">
        <is>
          <t>2C</t>
        </is>
      </c>
      <c r="F24" s="34" t="inlineStr">
        <is>
          <t>Score-team page + API</t>
        </is>
      </c>
    </row>
    <row r="25" ht="23.25" customHeight="1" s="26">
      <c r="A25" s="33" t="n">
        <v>25</v>
      </c>
      <c r="B25" s="34" t="inlineStr">
        <is>
          <t>7</t>
        </is>
      </c>
      <c r="C25" s="34" t="inlineStr">
        <is>
          <t>After scoring — Manager writes review notes + next month focus</t>
        </is>
      </c>
      <c r="D25" s="35" t="inlineStr">
        <is>
          <t>Done</t>
        </is>
      </c>
      <c r="E25" s="33" t="inlineStr">
        <is>
          <t>2D</t>
        </is>
      </c>
      <c r="F25" s="34" t="inlineStr">
        <is>
          <t>Stored in Review_Cycles</t>
        </is>
      </c>
    </row>
    <row r="26" ht="15" customHeight="1" s="26">
      <c r="A26" s="33" t="n">
        <v>26</v>
      </c>
      <c r="B26" s="34" t="inlineStr">
        <is>
          <t>7</t>
        </is>
      </c>
      <c r="C26" s="34" t="inlineStr">
        <is>
          <t>After manager submits — Employee acknowledges review</t>
        </is>
      </c>
      <c r="D26" s="35" t="inlineStr">
        <is>
          <t>Done</t>
        </is>
      </c>
      <c r="E26" s="33" t="inlineStr">
        <is>
          <t>2D</t>
        </is>
      </c>
      <c r="F26" s="34" t="inlineStr">
        <is>
          <t>Acknowledge API + My Review page</t>
        </is>
      </c>
    </row>
    <row r="27" ht="15" customHeight="1" s="26">
      <c r="A27" s="33" t="n">
        <v>32</v>
      </c>
      <c r="B27" s="34" t="inlineStr">
        <is>
          <t>7.1</t>
        </is>
      </c>
      <c r="C27" s="34" t="inlineStr">
        <is>
          <t>Self-score: ≥2 point gap flagged for discussion</t>
        </is>
      </c>
      <c r="D27" s="35" t="inlineStr">
        <is>
          <t>Done</t>
        </is>
      </c>
      <c r="E27" s="33" t="inlineStr">
        <is>
          <t>2D</t>
        </is>
      </c>
      <c r="F27" s="34" t="inlineStr">
        <is>
          <t>Flagged_Dimensions in Review_Cycles</t>
        </is>
      </c>
    </row>
    <row r="28" ht="15" customHeight="1" s="26">
      <c r="A28" s="33" t="n">
        <v>33</v>
      </c>
      <c r="B28" s="34" t="inlineStr">
        <is>
          <t>7.2</t>
        </is>
      </c>
      <c r="C28" s="34" t="inlineStr">
        <is>
          <t>AI validation of review notes (harsh/vague/unconstructive)</t>
        </is>
      </c>
      <c r="D28" s="35" t="inlineStr">
        <is>
          <t>Done</t>
        </is>
      </c>
      <c r="E28" s="33" t="inlineStr">
        <is>
          <t>2D</t>
        </is>
      </c>
      <c r="F28" s="34" t="inlineStr">
        <is>
          <t>ai-review.ts + validate-notes API</t>
        </is>
      </c>
    </row>
    <row r="29" ht="15" customHeight="1" s="26">
      <c r="A29" s="33" t="n">
        <v>34</v>
      </c>
      <c r="B29" s="34" t="inlineStr">
        <is>
          <t>7.3</t>
        </is>
      </c>
      <c r="C29" s="34" t="inlineStr">
        <is>
          <t>Weekly context shown in monthly scoring screen</t>
        </is>
      </c>
      <c r="D29" s="35" t="inlineStr">
        <is>
          <t>Done</t>
        </is>
      </c>
      <c r="E29" s="33" t="inlineStr">
        <is>
          <t>2D</t>
        </is>
      </c>
      <c r="F29" s="34" t="inlineStr">
        <is>
          <t>weekly-context API + collapsible UI</t>
        </is>
      </c>
    </row>
    <row r="30" ht="15" customHeight="1" s="26">
      <c r="A30" s="33" t="n">
        <v>40</v>
      </c>
      <c r="B30" s="34" t="inlineStr">
        <is>
          <t>9</t>
        </is>
      </c>
      <c r="C30" s="34" t="inlineStr">
        <is>
          <t>One-time welcome screen explaining Crystal People</t>
        </is>
      </c>
      <c r="D30" s="35" t="inlineStr">
        <is>
          <t>Done</t>
        </is>
      </c>
      <c r="E30" s="33" t="inlineStr">
        <is>
          <t>1</t>
        </is>
      </c>
      <c r="F30" s="34" t="inlineStr">
        <is>
          <t>First_Login_Done flag + password change</t>
        </is>
      </c>
    </row>
    <row r="31" ht="15" customHeight="1" s="26">
      <c r="A31" s="33" t="n">
        <v>42</v>
      </c>
      <c r="B31" s="34" t="inlineStr">
        <is>
          <t>10</t>
        </is>
      </c>
      <c r="C31" s="34" t="inlineStr">
        <is>
          <t>Quick edit — HR searches and edits any employee field</t>
        </is>
      </c>
      <c r="D31" s="35" t="inlineStr">
        <is>
          <t>Done</t>
        </is>
      </c>
      <c r="E31" s="33" t="inlineStr">
        <is>
          <t>2A</t>
        </is>
      </c>
      <c r="F31" s="34" t="inlineStr">
        <is>
          <t>Employee edit page + PATCH API</t>
        </is>
      </c>
    </row>
    <row r="32" ht="15" customHeight="1" s="26">
      <c r="A32" s="33" t="n">
        <v>48</v>
      </c>
      <c r="B32" s="34" t="inlineStr">
        <is>
          <t>10</t>
        </is>
      </c>
      <c r="C32" s="34" t="inlineStr">
        <is>
          <t>All org changes auto-logged (what, who, when)</t>
        </is>
      </c>
      <c r="D32" s="35" t="inlineStr">
        <is>
          <t>Done</t>
        </is>
      </c>
      <c r="E32" s="33" t="inlineStr">
        <is>
          <t>2A</t>
        </is>
      </c>
      <c r="F32" s="34" t="inlineStr">
        <is>
          <t>Org_Changes sheet + API</t>
        </is>
      </c>
    </row>
    <row r="33" ht="15" customHeight="1" s="26">
      <c r="A33" s="33" t="n">
        <v>49</v>
      </c>
      <c r="B33" s="34" t="inlineStr">
        <is>
          <t>11</t>
        </is>
      </c>
      <c r="C33" s="34" t="inlineStr">
        <is>
          <t>No employee may score themselves without manager scoring</t>
        </is>
      </c>
      <c r="D33" s="35" t="inlineStr">
        <is>
          <t>Done</t>
        </is>
      </c>
      <c r="E33" s="33" t="inlineStr">
        <is>
          <t>2C</t>
        </is>
      </c>
      <c r="F33" s="34" t="inlineStr">
        <is>
          <t>Status flow enforced</t>
        </is>
      </c>
    </row>
    <row r="34" ht="15" customHeight="1" s="26">
      <c r="A34" s="33" t="n">
        <v>51</v>
      </c>
      <c r="B34" s="34" t="inlineStr">
        <is>
          <t>11</t>
        </is>
      </c>
      <c r="C34" s="34" t="inlineStr">
        <is>
          <t>All cycles must be completed + acknowledged before lock</t>
        </is>
      </c>
      <c r="D34" s="35" t="inlineStr">
        <is>
          <t>Done</t>
        </is>
      </c>
      <c r="E34" s="33" t="inlineStr">
        <is>
          <t>2D</t>
        </is>
      </c>
      <c r="F34" s="34" t="inlineStr">
        <is>
          <t>Lock requires manager_scored or acknowledged</t>
        </is>
      </c>
    </row>
    <row r="35" ht="15" customHeight="1" s="26">
      <c r="A35" s="33" t="n">
        <v>55</v>
      </c>
      <c r="B35" s="34" t="inlineStr">
        <is>
          <t>11</t>
        </is>
      </c>
      <c r="C35" s="34" t="inlineStr">
        <is>
          <t>Manager concern flags never visible to employee</t>
        </is>
      </c>
      <c r="D35" s="35" t="inlineStr">
        <is>
          <t>Done</t>
        </is>
      </c>
      <c r="E35" s="33" t="inlineStr">
        <is>
          <t>2B</t>
        </is>
      </c>
      <c r="F35" s="34" t="inlineStr">
        <is>
          <t>Filtered in API</t>
        </is>
      </c>
    </row>
    <row r="36" ht="15" customHeight="1" s="26">
      <c r="A36" s="33" t="n">
        <v>62</v>
      </c>
      <c r="B36" s="34" t="inlineStr">
        <is>
          <t>13</t>
        </is>
      </c>
      <c r="C36" s="34" t="inlineStr">
        <is>
          <t>Employees sheet</t>
        </is>
      </c>
      <c r="D36" s="35" t="inlineStr">
        <is>
          <t>Done</t>
        </is>
      </c>
      <c r="E36" s="33" t="inlineStr">
        <is>
          <t>1</t>
        </is>
      </c>
      <c r="F36" s="34" t="inlineStr">
        <is>
          <t>14 columns</t>
        </is>
      </c>
    </row>
    <row r="37" ht="15" customHeight="1" s="26">
      <c r="A37" s="33" t="n">
        <v>63</v>
      </c>
      <c r="B37" s="34" t="inlineStr">
        <is>
          <t>13</t>
        </is>
      </c>
      <c r="C37" s="34" t="inlineStr">
        <is>
          <t>Managers sheet</t>
        </is>
      </c>
      <c r="D37" s="35" t="inlineStr">
        <is>
          <t>Done</t>
        </is>
      </c>
      <c r="E37" s="33" t="inlineStr">
        <is>
          <t>1</t>
        </is>
      </c>
      <c r="F37" s="34" t="inlineStr">
        <is>
          <t>Manager-Employee lookup</t>
        </is>
      </c>
    </row>
    <row r="38" ht="15" customHeight="1" s="26">
      <c r="A38" s="33" t="n">
        <v>64</v>
      </c>
      <c r="B38" s="34" t="inlineStr">
        <is>
          <t>13</t>
        </is>
      </c>
      <c r="C38" s="34" t="inlineStr">
        <is>
          <t>Review_Cycles sheet</t>
        </is>
      </c>
      <c r="D38" s="35" t="inlineStr">
        <is>
          <t>Done</t>
        </is>
      </c>
      <c r="E38" s="33" t="inlineStr">
        <is>
          <t>2C</t>
        </is>
      </c>
      <c r="F38" s="34" t="inlineStr">
        <is>
          <t>15 columns incl. AI flags</t>
        </is>
      </c>
    </row>
    <row r="39" ht="15" customHeight="1" s="26">
      <c r="A39" s="33" t="n">
        <v>65</v>
      </c>
      <c r="B39" s="34" t="inlineStr">
        <is>
          <t>13</t>
        </is>
      </c>
      <c r="C39" s="34" t="inlineStr">
        <is>
          <t>Goals sheet</t>
        </is>
      </c>
      <c r="D39" s="35" t="inlineStr">
        <is>
          <t>Done</t>
        </is>
      </c>
      <c r="E39" s="33" t="inlineStr">
        <is>
          <t>2C</t>
        </is>
      </c>
      <c r="F39" s="34" t="inlineStr">
        <is>
          <t>13 columns</t>
        </is>
      </c>
    </row>
    <row r="40" ht="15" customHeight="1" s="26">
      <c r="A40" s="33" t="n">
        <v>66</v>
      </c>
      <c r="B40" s="34" t="inlineStr">
        <is>
          <t>13</t>
        </is>
      </c>
      <c r="C40" s="34" t="inlineStr">
        <is>
          <t>Tasks sheet</t>
        </is>
      </c>
      <c r="D40" s="35" t="inlineStr">
        <is>
          <t>Done</t>
        </is>
      </c>
      <c r="E40" s="33" t="inlineStr">
        <is>
          <t>2C</t>
        </is>
      </c>
      <c r="F40" s="34" t="inlineStr">
        <is>
          <t>9 columns</t>
        </is>
      </c>
    </row>
    <row r="41" ht="15" customHeight="1" s="26">
      <c r="A41" s="33" t="n">
        <v>67</v>
      </c>
      <c r="B41" s="34" t="inlineStr">
        <is>
          <t>13</t>
        </is>
      </c>
      <c r="C41" s="34" t="inlineStr">
        <is>
          <t>Weekly_Reflections sheet</t>
        </is>
      </c>
      <c r="D41" s="35" t="inlineStr">
        <is>
          <t>Done</t>
        </is>
      </c>
      <c r="E41" s="33" t="inlineStr">
        <is>
          <t>2B</t>
        </is>
      </c>
      <c r="F41" s="34" t="inlineStr">
        <is>
          <t>9 columns</t>
        </is>
      </c>
    </row>
    <row r="42" ht="15" customHeight="1" s="26">
      <c r="A42" s="33" t="n">
        <v>68</v>
      </c>
      <c r="B42" s="34" t="inlineStr">
        <is>
          <t>13</t>
        </is>
      </c>
      <c r="C42" s="34" t="inlineStr">
        <is>
          <t>Weekly_Checkins sheet</t>
        </is>
      </c>
      <c r="D42" s="35" t="inlineStr">
        <is>
          <t>Done</t>
        </is>
      </c>
      <c r="E42" s="33" t="inlineStr">
        <is>
          <t>2B</t>
        </is>
      </c>
      <c r="F42" s="34" t="inlineStr">
        <is>
          <t>10 columns</t>
        </is>
      </c>
    </row>
    <row r="43" ht="15" customHeight="1" s="26">
      <c r="A43" s="33" t="n">
        <v>69</v>
      </c>
      <c r="B43" s="34" t="inlineStr">
        <is>
          <t>13</t>
        </is>
      </c>
      <c r="C43" s="34" t="inlineStr">
        <is>
          <t>Org_Changes sheet</t>
        </is>
      </c>
      <c r="D43" s="35" t="inlineStr">
        <is>
          <t>Done</t>
        </is>
      </c>
      <c r="E43" s="33" t="inlineStr">
        <is>
          <t>2A</t>
        </is>
      </c>
      <c r="F43" s="34" t="inlineStr">
        <is>
          <t>7 columns</t>
        </is>
      </c>
    </row>
    <row r="44" ht="15" customHeight="1" s="26">
      <c r="A44" s="33" t="n">
        <v>70</v>
      </c>
      <c r="B44" s="34" t="inlineStr">
        <is>
          <t>13</t>
        </is>
      </c>
      <c r="C44" s="34" t="inlineStr">
        <is>
          <t>Notifications sheet</t>
        </is>
      </c>
      <c r="D44" s="35" t="inlineStr">
        <is>
          <t>Done</t>
        </is>
      </c>
      <c r="E44" s="33" t="inlineStr">
        <is>
          <t>2D</t>
        </is>
      </c>
      <c r="F44" s="34" t="inlineStr">
        <is>
          <t>7 columns</t>
        </is>
      </c>
    </row>
    <row r="45" ht="15" customHeight="1" s="26">
      <c r="A45" s="33" t="n">
        <v>71</v>
      </c>
      <c r="B45" s="34" t="inlineStr">
        <is>
          <t>13</t>
        </is>
      </c>
      <c r="C45" s="34" t="inlineStr">
        <is>
          <t>Config sheet</t>
        </is>
      </c>
      <c r="D45" s="35" t="inlineStr">
        <is>
          <t>Done</t>
        </is>
      </c>
      <c r="E45" s="33" t="inlineStr">
        <is>
          <t>1</t>
        </is>
      </c>
      <c r="F45" s="34" t="inlineStr">
        <is>
          <t>Key-Value pairs</t>
        </is>
      </c>
    </row>
    <row r="46" ht="15" customHeight="1" s="26">
      <c r="A46" s="33" t="n">
        <v>72</v>
      </c>
      <c r="B46" s="34" t="inlineStr">
        <is>
          <t>13</t>
        </is>
      </c>
      <c r="C46" s="34" t="inlineStr">
        <is>
          <t>SEQUENCES sheet</t>
        </is>
      </c>
      <c r="D46" s="35" t="inlineStr">
        <is>
          <t>Done</t>
        </is>
      </c>
      <c r="E46" s="33" t="inlineStr">
        <is>
          <t>1</t>
        </is>
      </c>
      <c r="F46" s="34" t="inlineStr">
        <is>
          <t>Auto-increment IDs</t>
        </is>
      </c>
    </row>
    <row r="47" ht="15" customHeight="1" s="26">
      <c r="A47" s="33" t="inlineStr">
        <is>
          <t>Phase</t>
        </is>
      </c>
      <c r="B47" s="34" t="inlineStr">
        <is>
          <t>Description</t>
        </is>
      </c>
      <c r="C47" s="34" t="inlineStr">
        <is>
          <t>Items</t>
        </is>
      </c>
      <c r="D47" s="35" t="inlineStr">
        <is>
          <t>Done</t>
        </is>
      </c>
      <c r="E47" s="33" t="inlineStr">
        <is>
          <t>Status</t>
        </is>
      </c>
      <c r="F47" s="34" t="n"/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25" min="1" max="1"/>
    <col width="14" customWidth="1" style="25" min="2" max="2"/>
    <col width="52" customWidth="1" style="25" min="3" max="3"/>
    <col width="14" customWidth="1" style="25" min="4" max="4"/>
    <col width="12" customWidth="1" style="25" min="5" max="5"/>
    <col width="45" customWidth="1" style="25" min="6" max="6"/>
  </cols>
  <sheetData>
    <row r="1" ht="30" customHeight="1" s="26">
      <c r="A1" s="51" t="inlineStr">
        <is>
          <t>Crystal People — Pending / Not Built</t>
        </is>
      </c>
    </row>
    <row r="2" ht="15" customHeight="1" s="26">
      <c r="A2" s="50" t="inlineStr">
        <is>
          <t>Total: 30 items</t>
        </is>
      </c>
    </row>
    <row r="4" ht="15" customHeight="1" s="26">
      <c r="A4" s="29" t="inlineStr">
        <is>
          <t>S.No</t>
        </is>
      </c>
      <c r="B4" s="29" t="inlineStr">
        <is>
          <t>SOP Section</t>
        </is>
      </c>
      <c r="C4" s="29" t="inlineStr">
        <is>
          <t>Feature / Requirement</t>
        </is>
      </c>
      <c r="D4" s="29" t="inlineStr">
        <is>
          <t>Status</t>
        </is>
      </c>
      <c r="E4" s="29" t="inlineStr">
        <is>
          <t>Phase</t>
        </is>
      </c>
      <c r="F4" s="29" t="inlineStr">
        <is>
          <t>Remarks</t>
        </is>
      </c>
    </row>
    <row r="5" ht="15" customHeight="1" s="26">
      <c r="A5" s="33" t="n">
        <v>19</v>
      </c>
      <c r="B5" s="34" t="inlineStr">
        <is>
          <t>6.3</t>
        </is>
      </c>
      <c r="C5" s="34" t="inlineStr">
        <is>
          <t>Saturday auto reminder to non-submitters</t>
        </is>
      </c>
      <c r="D5" s="36" t="inlineStr">
        <is>
          <t>Not Built</t>
        </is>
      </c>
      <c r="E5" s="33" t="inlineStr">
        <is>
          <t>3</t>
        </is>
      </c>
      <c r="F5" s="34" t="inlineStr">
        <is>
          <t>Needs scheduled job</t>
        </is>
      </c>
    </row>
    <row r="6" ht="15" customHeight="1" s="26">
      <c r="A6" s="33" t="n">
        <v>20</v>
      </c>
      <c r="B6" s="34" t="inlineStr">
        <is>
          <t>6.3</t>
        </is>
      </c>
      <c r="C6" s="34" t="inlineStr">
        <is>
          <t>Monday — pending visible to HR</t>
        </is>
      </c>
      <c r="D6" s="36" t="inlineStr">
        <is>
          <t>Not Built</t>
        </is>
      </c>
      <c r="E6" s="33" t="inlineStr">
        <is>
          <t>3</t>
        </is>
      </c>
      <c r="F6" s="34" t="inlineStr">
        <is>
          <t>Needs escalation dashboard</t>
        </is>
      </c>
    </row>
    <row r="7" ht="15" customHeight="1" s="26">
      <c r="A7" s="33" t="n">
        <v>21</v>
      </c>
      <c r="B7" s="34" t="inlineStr">
        <is>
          <t>6.3</t>
        </is>
      </c>
      <c r="C7" s="34" t="inlineStr">
        <is>
          <t>Missed reflections tracked, visible to MD</t>
        </is>
      </c>
      <c r="D7" s="36" t="inlineStr">
        <is>
          <t>Not Built</t>
        </is>
      </c>
      <c r="E7" s="33" t="inlineStr">
        <is>
          <t>3</t>
        </is>
      </c>
      <c r="F7" s="34" t="inlineStr">
        <is>
          <t>Needs exec escalation view</t>
        </is>
      </c>
    </row>
    <row r="8" ht="23.25" customHeight="1" s="26">
      <c r="A8" s="33" t="n">
        <v>22</v>
      </c>
      <c r="B8" s="34" t="inlineStr">
        <is>
          <t>7</t>
        </is>
      </c>
      <c r="C8" s="34" t="inlineStr">
        <is>
          <t>Day 1 — Review window opens, employees &amp; managers notified</t>
        </is>
      </c>
      <c r="D8" s="37" t="inlineStr">
        <is>
          <t>Partial</t>
        </is>
      </c>
      <c r="E8" s="33" t="inlineStr">
        <is>
          <t>3</t>
        </is>
      </c>
      <c r="F8" s="34" t="inlineStr">
        <is>
          <t>Window logic exists, auto-notify not built</t>
        </is>
      </c>
    </row>
    <row r="9" ht="15" customHeight="1" s="26">
      <c r="A9" s="33" t="n">
        <v>27</v>
      </c>
      <c r="B9" s="34" t="inlineStr">
        <is>
          <t>7</t>
        </is>
      </c>
      <c r="C9" s="34" t="inlineStr">
        <is>
          <t>Day 3 — First auto reminder to non-scorers</t>
        </is>
      </c>
      <c r="D9" s="36" t="inlineStr">
        <is>
          <t>Not Built</t>
        </is>
      </c>
      <c r="E9" s="33" t="inlineStr">
        <is>
          <t>3</t>
        </is>
      </c>
      <c r="F9" s="34" t="inlineStr">
        <is>
          <t>Needs scheduled job</t>
        </is>
      </c>
    </row>
    <row r="10" ht="15" customHeight="1" s="26">
      <c r="A10" s="33" t="n">
        <v>28</v>
      </c>
      <c r="B10" s="34" t="inlineStr">
        <is>
          <t>7</t>
        </is>
      </c>
      <c r="C10" s="34" t="inlineStr">
        <is>
          <t>Day 6 — Second auto reminder</t>
        </is>
      </c>
      <c r="D10" s="36" t="inlineStr">
        <is>
          <t>Not Built</t>
        </is>
      </c>
      <c r="E10" s="33" t="inlineStr">
        <is>
          <t>3</t>
        </is>
      </c>
      <c r="F10" s="34" t="inlineStr">
        <is>
          <t>Needs scheduled job</t>
        </is>
      </c>
    </row>
    <row r="11" ht="15" customHeight="1" s="26">
      <c r="A11" s="33" t="n">
        <v>29</v>
      </c>
      <c r="B11" s="34" t="inlineStr">
        <is>
          <t>7</t>
        </is>
      </c>
      <c r="C11" s="34" t="inlineStr">
        <is>
          <t>Day 7 — Pending reviews visible to HR</t>
        </is>
      </c>
      <c r="D11" s="37" t="inlineStr">
        <is>
          <t>Partial</t>
        </is>
      </c>
      <c r="E11" s="33" t="inlineStr">
        <is>
          <t>2D</t>
        </is>
      </c>
      <c r="F11" s="34" t="inlineStr">
        <is>
          <t>HR Monitor page shows all statuses</t>
        </is>
      </c>
    </row>
    <row r="12" ht="15" customHeight="1" s="26">
      <c r="A12" s="33" t="n">
        <v>30</v>
      </c>
      <c r="B12" s="34" t="inlineStr">
        <is>
          <t>7</t>
        </is>
      </c>
      <c r="C12" s="34" t="inlineStr">
        <is>
          <t>Day 10 — Pending visible to MD, affects manager's own score</t>
        </is>
      </c>
      <c r="D12" s="36" t="inlineStr">
        <is>
          <t>Not Built</t>
        </is>
      </c>
      <c r="E12" s="33" t="inlineStr">
        <is>
          <t>3</t>
        </is>
      </c>
      <c r="F12" s="34" t="inlineStr">
        <is>
          <t>Needs exec dashboard + penalty logic</t>
        </is>
      </c>
    </row>
    <row r="13" ht="15" customHeight="1" s="26">
      <c r="A13" s="33" t="n">
        <v>31</v>
      </c>
      <c r="B13" s="34" t="inlineStr">
        <is>
          <t>7</t>
        </is>
      </c>
      <c r="C13" s="34" t="inlineStr">
        <is>
          <t>Day 11 — Window closes, scores locked for the month</t>
        </is>
      </c>
      <c r="D13" s="36" t="inlineStr">
        <is>
          <t>Not Built</t>
        </is>
      </c>
      <c r="E13" s="33" t="inlineStr">
        <is>
          <t>3</t>
        </is>
      </c>
      <c r="F13" s="34" t="inlineStr">
        <is>
          <t>Manual lock exists, auto-lock not built</t>
        </is>
      </c>
    </row>
    <row r="14" ht="15" customHeight="1" s="26">
      <c r="A14" s="33" t="n">
        <v>35</v>
      </c>
      <c r="B14" s="34" t="inlineStr">
        <is>
          <t>8</t>
        </is>
      </c>
      <c r="C14" s="34" t="inlineStr">
        <is>
          <t>12-month average score calculation</t>
        </is>
      </c>
      <c r="D14" s="36" t="inlineStr">
        <is>
          <t>Not Built</t>
        </is>
      </c>
      <c r="E14" s="33" t="inlineStr">
        <is>
          <t>5</t>
        </is>
      </c>
      <c r="F14" s="34" t="n"/>
    </row>
    <row r="15" ht="15" customHeight="1" s="26">
      <c r="A15" s="33" t="n">
        <v>36</v>
      </c>
      <c r="B15" s="34" t="inlineStr">
        <is>
          <t>8</t>
        </is>
      </c>
      <c r="C15" s="34" t="inlineStr">
        <is>
          <t>MD sets increment percentage bands before April 1</t>
        </is>
      </c>
      <c r="D15" s="36" t="inlineStr">
        <is>
          <t>Not Built</t>
        </is>
      </c>
      <c r="E15" s="33" t="inlineStr">
        <is>
          <t>5</t>
        </is>
      </c>
      <c r="F15" s="34" t="n"/>
    </row>
    <row r="16" ht="15" customHeight="1" s="26">
      <c r="A16" s="33" t="n">
        <v>37</v>
      </c>
      <c r="B16" s="34" t="inlineStr">
        <is>
          <t>8</t>
        </is>
      </c>
      <c r="C16" s="34" t="inlineStr">
        <is>
          <t>HR computes individual increments per band</t>
        </is>
      </c>
      <c r="D16" s="36" t="inlineStr">
        <is>
          <t>Not Built</t>
        </is>
      </c>
      <c r="E16" s="33" t="inlineStr">
        <is>
          <t>5</t>
        </is>
      </c>
      <c r="F16" s="34" t="n"/>
    </row>
    <row r="17" ht="15" customHeight="1" s="26">
      <c r="A17" s="33" t="n">
        <v>38</v>
      </c>
      <c r="B17" s="34" t="inlineStr">
        <is>
          <t>8</t>
        </is>
      </c>
      <c r="C17" s="34" t="inlineStr">
        <is>
          <t>MD approves full increment sheet</t>
        </is>
      </c>
      <c r="D17" s="36" t="inlineStr">
        <is>
          <t>Not Built</t>
        </is>
      </c>
      <c r="E17" s="33" t="inlineStr">
        <is>
          <t>5</t>
        </is>
      </c>
      <c r="F17" s="34" t="n"/>
    </row>
    <row r="18" ht="15" customHeight="1" s="26">
      <c r="A18" s="33" t="n">
        <v>39</v>
      </c>
      <c r="B18" s="34" t="inlineStr">
        <is>
          <t>8</t>
        </is>
      </c>
      <c r="C18" s="34" t="inlineStr">
        <is>
          <t>Increment letter generation</t>
        </is>
      </c>
      <c r="D18" s="36" t="inlineStr">
        <is>
          <t>Not Built</t>
        </is>
      </c>
      <c r="E18" s="33" t="inlineStr">
        <is>
          <t>5</t>
        </is>
      </c>
      <c r="F18" s="34" t="n"/>
    </row>
    <row r="19" ht="15" customHeight="1" s="26">
      <c r="A19" s="33" t="n">
        <v>41</v>
      </c>
      <c r="B19" s="34" t="inlineStr">
        <is>
          <t>10</t>
        </is>
      </c>
      <c r="C19" s="34" t="inlineStr">
        <is>
          <t>Excel upload for bulk employee setup/changes</t>
        </is>
      </c>
      <c r="D19" s="36" t="inlineStr">
        <is>
          <t>Not Built</t>
        </is>
      </c>
      <c r="E19" s="33" t="inlineStr">
        <is>
          <t>4</t>
        </is>
      </c>
      <c r="F19" s="34" t="n"/>
    </row>
    <row r="20" ht="15" customHeight="1" s="26">
      <c r="A20" s="33" t="n">
        <v>43</v>
      </c>
      <c r="B20" s="34" t="inlineStr">
        <is>
          <t>10</t>
        </is>
      </c>
      <c r="C20" s="34" t="inlineStr">
        <is>
          <t>New joiner before 15th — current month cycle</t>
        </is>
      </c>
      <c r="D20" s="36" t="inlineStr">
        <is>
          <t>Not Built</t>
        </is>
      </c>
      <c r="E20" s="33" t="inlineStr">
        <is>
          <t>6</t>
        </is>
      </c>
      <c r="F20" s="34" t="inlineStr">
        <is>
          <t>Edge case logic</t>
        </is>
      </c>
    </row>
    <row r="21" ht="15" customHeight="1" s="26">
      <c r="A21" s="33" t="n">
        <v>44</v>
      </c>
      <c r="B21" s="34" t="inlineStr">
        <is>
          <t>10</t>
        </is>
      </c>
      <c r="C21" s="34" t="inlineStr">
        <is>
          <t>New joiner after 15th — starts next month</t>
        </is>
      </c>
      <c r="D21" s="36" t="inlineStr">
        <is>
          <t>Not Built</t>
        </is>
      </c>
      <c r="E21" s="33" t="inlineStr">
        <is>
          <t>6</t>
        </is>
      </c>
      <c r="F21" s="34" t="inlineStr">
        <is>
          <t>Edge case logic</t>
        </is>
      </c>
    </row>
    <row r="22" ht="15" customHeight="1" s="26">
      <c r="A22" s="33" t="n">
        <v>45</v>
      </c>
      <c r="B22" s="34" t="inlineStr">
        <is>
          <t>10</t>
        </is>
      </c>
      <c r="C22" s="34" t="inlineStr">
        <is>
          <t>Employee exit — marked inactive, history preserved</t>
        </is>
      </c>
      <c r="D22" s="37" t="inlineStr">
        <is>
          <t>Partial</t>
        </is>
      </c>
      <c r="E22" s="33" t="inlineStr">
        <is>
          <t>2A</t>
        </is>
      </c>
      <c r="F22" s="34" t="inlineStr">
        <is>
          <t>Status field exists, no dedicated exit flow</t>
        </is>
      </c>
    </row>
    <row r="23" ht="15" customHeight="1" s="26">
      <c r="A23" s="33" t="n">
        <v>46</v>
      </c>
      <c r="B23" s="34" t="inlineStr">
        <is>
          <t>10</t>
        </is>
      </c>
      <c r="C23" s="34" t="inlineStr">
        <is>
          <t>Reporting change — effective next month</t>
        </is>
      </c>
      <c r="D23" s="36" t="inlineStr">
        <is>
          <t>Not Built</t>
        </is>
      </c>
      <c r="E23" s="33" t="inlineStr">
        <is>
          <t>6</t>
        </is>
      </c>
      <c r="F23" s="34" t="inlineStr">
        <is>
          <t>Edge case logic</t>
        </is>
      </c>
    </row>
    <row r="24" ht="15" customHeight="1" s="26">
      <c r="A24" s="33" t="n">
        <v>47</v>
      </c>
      <c r="B24" s="34" t="inlineStr">
        <is>
          <t>10</t>
        </is>
      </c>
      <c r="C24" s="34" t="inlineStr">
        <is>
          <t>Manager exits — team flagged unassigned</t>
        </is>
      </c>
      <c r="D24" s="36" t="inlineStr">
        <is>
          <t>Not Built</t>
        </is>
      </c>
      <c r="E24" s="33" t="inlineStr">
        <is>
          <t>6</t>
        </is>
      </c>
      <c r="F24" s="34" t="inlineStr">
        <is>
          <t>Edge case logic</t>
        </is>
      </c>
    </row>
    <row r="25" ht="15" customHeight="1" s="26">
      <c r="A25" s="33" t="n">
        <v>50</v>
      </c>
      <c r="B25" s="34" t="inlineStr">
        <is>
          <t>11</t>
        </is>
      </c>
      <c r="C25" s="34" t="inlineStr">
        <is>
          <t>No increment without MD written approval</t>
        </is>
      </c>
      <c r="D25" s="36" t="inlineStr">
        <is>
          <t>Not Built</t>
        </is>
      </c>
      <c r="E25" s="33" t="inlineStr">
        <is>
          <t>5</t>
        </is>
      </c>
      <c r="F25" s="34" t="inlineStr">
        <is>
          <t>Increment feature pending</t>
        </is>
      </c>
    </row>
    <row r="26" ht="15" customHeight="1" s="26">
      <c r="A26" s="33" t="n">
        <v>52</v>
      </c>
      <c r="B26" s="34" t="inlineStr">
        <is>
          <t>11</t>
        </is>
      </c>
      <c r="C26" s="34" t="inlineStr">
        <is>
          <t>Manager penalty if team reviews not done by Day 10</t>
        </is>
      </c>
      <c r="D26" s="36" t="inlineStr">
        <is>
          <t>Not Built</t>
        </is>
      </c>
      <c r="E26" s="33" t="inlineStr">
        <is>
          <t>3</t>
        </is>
      </c>
      <c r="F26" s="34" t="inlineStr">
        <is>
          <t>Needs penalty logic</t>
        </is>
      </c>
    </row>
    <row r="27" ht="15" customHeight="1" s="26">
      <c r="A27" s="33" t="n">
        <v>53</v>
      </c>
      <c r="B27" s="34" t="inlineStr">
        <is>
          <t>11</t>
        </is>
      </c>
      <c r="C27" s="34" t="inlineStr">
        <is>
          <t>Rating 1 employees = no increment (MD exception only)</t>
        </is>
      </c>
      <c r="D27" s="36" t="inlineStr">
        <is>
          <t>Not Built</t>
        </is>
      </c>
      <c r="E27" s="33" t="inlineStr">
        <is>
          <t>5</t>
        </is>
      </c>
      <c r="F27" s="34" t="inlineStr">
        <is>
          <t>Increment feature pending</t>
        </is>
      </c>
    </row>
    <row r="28" ht="15" customHeight="1" s="26">
      <c r="A28" s="33" t="n">
        <v>54</v>
      </c>
      <c r="B28" s="34" t="inlineStr">
        <is>
          <t>11</t>
        </is>
      </c>
      <c r="C28" s="34" t="inlineStr">
        <is>
          <t>Increment amounts strictly confidential between employees</t>
        </is>
      </c>
      <c r="D28" s="36" t="inlineStr">
        <is>
          <t>Not Built</t>
        </is>
      </c>
      <c r="E28" s="33" t="inlineStr">
        <is>
          <t>5</t>
        </is>
      </c>
      <c r="F28" s="34" t="inlineStr">
        <is>
          <t>Increment feature pending</t>
        </is>
      </c>
    </row>
    <row r="29" ht="15" customHeight="1" s="26">
      <c r="A29" s="33" t="n">
        <v>56</v>
      </c>
      <c r="B29" s="34" t="inlineStr">
        <is>
          <t>12</t>
        </is>
      </c>
      <c r="C29" s="34" t="inlineStr">
        <is>
          <t>Employee disputes rating — HR mediates within 3 days</t>
        </is>
      </c>
      <c r="D29" s="36" t="inlineStr">
        <is>
          <t>Not Built</t>
        </is>
      </c>
      <c r="E29" s="33" t="inlineStr">
        <is>
          <t>6</t>
        </is>
      </c>
      <c r="F29" s="34" t="n"/>
    </row>
    <row r="30" ht="15" customHeight="1" s="26">
      <c r="A30" s="33" t="n">
        <v>57</v>
      </c>
      <c r="B30" s="34" t="inlineStr">
        <is>
          <t>12</t>
        </is>
      </c>
      <c r="C30" s="34" t="inlineStr">
        <is>
          <t>Manager misses review deadline — HR escalates to dept head</t>
        </is>
      </c>
      <c r="D30" s="36" t="inlineStr">
        <is>
          <t>Not Built</t>
        </is>
      </c>
      <c r="E30" s="33" t="inlineStr">
        <is>
          <t>3</t>
        </is>
      </c>
      <c r="F30" s="34" t="n"/>
    </row>
    <row r="31" ht="15" customHeight="1" s="26">
      <c r="A31" s="33" t="n">
        <v>58</v>
      </c>
      <c r="B31" s="34" t="inlineStr">
        <is>
          <t>12</t>
        </is>
      </c>
      <c r="C31" s="34" t="inlineStr">
        <is>
          <t>Employee misses reflection — auto reminder + HR visibility</t>
        </is>
      </c>
      <c r="D31" s="36" t="inlineStr">
        <is>
          <t>Not Built</t>
        </is>
      </c>
      <c r="E31" s="33" t="inlineStr">
        <is>
          <t>3</t>
        </is>
      </c>
      <c r="F31" s="34" t="n"/>
    </row>
    <row r="32" ht="15" customHeight="1" s="26">
      <c r="A32" s="33" t="n">
        <v>59</v>
      </c>
      <c r="B32" s="34" t="inlineStr">
        <is>
          <t>12</t>
        </is>
      </c>
      <c r="C32" s="34" t="inlineStr">
        <is>
          <t>Goal/task change request — HR facilitates discussion</t>
        </is>
      </c>
      <c r="D32" s="36" t="inlineStr">
        <is>
          <t>Not Built</t>
        </is>
      </c>
      <c r="E32" s="33" t="inlineStr">
        <is>
          <t>6</t>
        </is>
      </c>
      <c r="F32" s="34" t="n"/>
    </row>
    <row r="33" ht="15" customHeight="1" s="26">
      <c r="A33" s="33" t="n">
        <v>60</v>
      </c>
      <c r="B33" s="34" t="inlineStr">
        <is>
          <t>12</t>
        </is>
      </c>
      <c r="C33" s="34" t="inlineStr">
        <is>
          <t>Increment budget exceeded — HR presents to MD</t>
        </is>
      </c>
      <c r="D33" s="36" t="inlineStr">
        <is>
          <t>Not Built</t>
        </is>
      </c>
      <c r="E33" s="33" t="inlineStr">
        <is>
          <t>5</t>
        </is>
      </c>
      <c r="F33" s="34" t="n"/>
    </row>
    <row r="34" ht="23.25" customHeight="1" s="26">
      <c r="A34" s="33" t="n">
        <v>61</v>
      </c>
      <c r="B34" s="34" t="inlineStr">
        <is>
          <t>12</t>
        </is>
      </c>
      <c r="C34" s="34" t="inlineStr">
        <is>
          <t>Employee refuses to acknowledge — HR documents, MD notified</t>
        </is>
      </c>
      <c r="D34" s="36" t="inlineStr">
        <is>
          <t>Not Built</t>
        </is>
      </c>
      <c r="E34" s="33" t="inlineStr">
        <is>
          <t>6</t>
        </is>
      </c>
      <c r="F34" s="34" t="n"/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26" min="1" max="1"/>
    <col width="32" customWidth="1" style="26" min="2" max="2"/>
    <col width="55" customWidth="1" style="26" min="3" max="3"/>
    <col width="14" customWidth="1" style="26" min="4" max="4"/>
    <col width="16" customWidth="1" style="26" min="5" max="5"/>
    <col width="40" customWidth="1" style="26" min="6" max="6"/>
  </cols>
  <sheetData>
    <row r="1" ht="30" customHeight="1" s="26">
      <c r="A1" s="52" t="inlineStr">
        <is>
          <t>Crystal People — Phase-wise Development Roadmap</t>
        </is>
      </c>
    </row>
    <row r="2">
      <c r="A2" s="53" t="inlineStr">
        <is>
          <t>SOP: HR-SOP-002 v1.0  |  As of: 26 March 2026</t>
        </is>
      </c>
    </row>
    <row r="4" ht="24" customHeight="1" s="26">
      <c r="A4" s="54" t="inlineStr">
        <is>
          <t>Phase</t>
        </is>
      </c>
      <c r="B4" s="54" t="inlineStr">
        <is>
          <t>Phase Name</t>
        </is>
      </c>
      <c r="C4" s="54" t="inlineStr">
        <is>
          <t>Feature</t>
        </is>
      </c>
      <c r="D4" s="54" t="inlineStr">
        <is>
          <t>Status</t>
        </is>
      </c>
      <c r="E4" s="54" t="inlineStr">
        <is>
          <t>Go-Live Need</t>
        </is>
      </c>
      <c r="F4" s="54" t="inlineStr">
        <is>
          <t>Notes</t>
        </is>
      </c>
    </row>
    <row r="5" ht="24" customHeight="1" s="26">
      <c r="A5" s="55" t="inlineStr">
        <is>
          <t>Phase 1 -- Foundation &amp; Auth</t>
        </is>
      </c>
      <c r="B5" s="56" t="n"/>
      <c r="C5" s="56" t="n"/>
      <c r="D5" s="57" t="inlineStr">
        <is>
          <t>Complete</t>
        </is>
      </c>
      <c r="E5" s="56" t="n"/>
      <c r="F5" s="56" t="n"/>
    </row>
    <row r="6">
      <c r="A6" s="58" t="n"/>
      <c r="B6" s="58" t="n"/>
      <c r="C6" s="59" t="inlineStr">
        <is>
          <t>Next.js 15 + TypeScript + Tailwind CSS setup</t>
        </is>
      </c>
      <c r="D6" s="57" t="inlineStr">
        <is>
          <t>Done</t>
        </is>
      </c>
      <c r="E6" s="60" t="inlineStr">
        <is>
          <t>Yes</t>
        </is>
      </c>
      <c r="F6" s="61" t="inlineStr"/>
    </row>
    <row r="7">
      <c r="A7" s="58" t="n"/>
      <c r="B7" s="58" t="n"/>
      <c r="C7" s="59" t="inlineStr">
        <is>
          <t>Google Sheets API integration (read/write/update/batch/cache)</t>
        </is>
      </c>
      <c r="D7" s="57" t="inlineStr">
        <is>
          <t>Done</t>
        </is>
      </c>
      <c r="E7" s="60" t="inlineStr">
        <is>
          <t>Yes</t>
        </is>
      </c>
      <c r="F7" s="61" t="inlineStr"/>
    </row>
    <row r="8">
      <c r="A8" s="58" t="n"/>
      <c r="B8" s="58" t="n"/>
      <c r="C8" s="59" t="inlineStr">
        <is>
          <t>Sheet schema validation system</t>
        </is>
      </c>
      <c r="D8" s="57" t="inlineStr">
        <is>
          <t>Done</t>
        </is>
      </c>
      <c r="E8" s="60" t="inlineStr">
        <is>
          <t>Yes</t>
        </is>
      </c>
      <c r="F8" s="61" t="inlineStr"/>
    </row>
    <row r="9">
      <c r="A9" s="58" t="n"/>
      <c r="B9" s="58" t="n"/>
      <c r="C9" s="59" t="inlineStr">
        <is>
          <t>JWT email/password authentication</t>
        </is>
      </c>
      <c r="D9" s="57" t="inlineStr">
        <is>
          <t>Done</t>
        </is>
      </c>
      <c r="E9" s="60" t="inlineStr">
        <is>
          <t>Yes</t>
        </is>
      </c>
      <c r="F9" s="61" t="inlineStr"/>
    </row>
    <row r="10">
      <c r="A10" s="58" t="n"/>
      <c r="B10" s="58" t="n"/>
      <c r="C10" s="59" t="inlineStr">
        <is>
          <t>4 roles: employee, manager, hr, md</t>
        </is>
      </c>
      <c r="D10" s="57" t="inlineStr">
        <is>
          <t>Done</t>
        </is>
      </c>
      <c r="E10" s="60" t="inlineStr">
        <is>
          <t>Yes</t>
        </is>
      </c>
      <c r="F10" s="61" t="inlineStr"/>
    </row>
    <row r="11">
      <c r="A11" s="58" t="n"/>
      <c r="B11" s="58" t="n"/>
      <c r="C11" s="59" t="inlineStr">
        <is>
          <t>First login password change flow</t>
        </is>
      </c>
      <c r="D11" s="57" t="inlineStr">
        <is>
          <t>Done</t>
        </is>
      </c>
      <c r="E11" s="60" t="inlineStr">
        <is>
          <t>Yes</t>
        </is>
      </c>
      <c r="F11" s="61" t="inlineStr"/>
    </row>
    <row r="12">
      <c r="A12" s="58" t="n"/>
      <c r="B12" s="58" t="n"/>
      <c r="C12" s="59" t="inlineStr">
        <is>
          <t>Forgot password with reset token</t>
        </is>
      </c>
      <c r="D12" s="57" t="inlineStr">
        <is>
          <t>Done</t>
        </is>
      </c>
      <c r="E12" s="60" t="inlineStr">
        <is>
          <t>Yes</t>
        </is>
      </c>
      <c r="F12" s="61" t="inlineStr"/>
    </row>
    <row r="13" ht="24" customHeight="1" s="26">
      <c r="A13" s="55" t="inlineStr">
        <is>
          <t>Phase 2A -- Employee &amp; Org Management</t>
        </is>
      </c>
      <c r="B13" s="56" t="n"/>
      <c r="C13" s="56" t="n"/>
      <c r="D13" s="62" t="inlineStr">
        <is>
          <t>In Progress</t>
        </is>
      </c>
      <c r="E13" s="56" t="n"/>
      <c r="F13" s="56" t="n"/>
    </row>
    <row r="14">
      <c r="A14" s="58" t="n"/>
      <c r="B14" s="58" t="n"/>
      <c r="C14" s="59" t="inlineStr">
        <is>
          <t>Employee list + search (HR/MD)</t>
        </is>
      </c>
      <c r="D14" s="57" t="inlineStr">
        <is>
          <t>Done</t>
        </is>
      </c>
      <c r="E14" s="60" t="inlineStr">
        <is>
          <t>Yes</t>
        </is>
      </c>
      <c r="F14" s="61" t="inlineStr"/>
    </row>
    <row r="15">
      <c r="A15" s="58" t="n"/>
      <c r="B15" s="58" t="n"/>
      <c r="C15" s="59" t="inlineStr">
        <is>
          <t>Employee profile view + edit</t>
        </is>
      </c>
      <c r="D15" s="57" t="inlineStr">
        <is>
          <t>Done</t>
        </is>
      </c>
      <c r="E15" s="60" t="inlineStr">
        <is>
          <t>Yes</t>
        </is>
      </c>
      <c r="F15" s="61" t="inlineStr"/>
    </row>
    <row r="16">
      <c r="A16" s="58" t="n"/>
      <c r="B16" s="58" t="n"/>
      <c r="C16" s="59" t="inlineStr">
        <is>
          <t>Manager assignment (Manager_ID)</t>
        </is>
      </c>
      <c r="D16" s="57" t="inlineStr">
        <is>
          <t>Done</t>
        </is>
      </c>
      <c r="E16" s="60" t="inlineStr">
        <is>
          <t>Yes</t>
        </is>
      </c>
      <c r="F16" s="61" t="inlineStr"/>
    </row>
    <row r="17">
      <c r="A17" s="58" t="n"/>
      <c r="B17" s="58" t="n"/>
      <c r="C17" s="59" t="inlineStr">
        <is>
          <t>Org Changes audit log</t>
        </is>
      </c>
      <c r="D17" s="57" t="inlineStr">
        <is>
          <t>Done</t>
        </is>
      </c>
      <c r="E17" s="60" t="inlineStr">
        <is>
          <t>Yes</t>
        </is>
      </c>
      <c r="F17" s="61" t="inlineStr"/>
    </row>
    <row r="18">
      <c r="A18" s="58" t="n"/>
      <c r="B18" s="58" t="n"/>
      <c r="C18" s="59" t="inlineStr">
        <is>
          <t>Employee exit flow (mark inactive)</t>
        </is>
      </c>
      <c r="D18" s="62" t="inlineStr">
        <is>
          <t>Partial</t>
        </is>
      </c>
      <c r="E18" s="63" t="inlineStr">
        <is>
          <t>Nice to have</t>
        </is>
      </c>
      <c r="F18" s="61" t="inlineStr">
        <is>
          <t>Status field exists, no dedicated UI</t>
        </is>
      </c>
    </row>
    <row r="19">
      <c r="A19" s="58" t="n"/>
      <c r="B19" s="58" t="n"/>
      <c r="C19" s="59" t="inlineStr">
        <is>
          <t>Config management (month, year, windows)</t>
        </is>
      </c>
      <c r="D19" s="57" t="inlineStr">
        <is>
          <t>Done</t>
        </is>
      </c>
      <c r="E19" s="60" t="inlineStr">
        <is>
          <t>Yes</t>
        </is>
      </c>
      <c r="F19" s="61" t="inlineStr"/>
    </row>
    <row r="20" ht="24" customHeight="1" s="26">
      <c r="A20" s="55" t="inlineStr">
        <is>
          <t>Phase 2B -- Weekly Cycle</t>
        </is>
      </c>
      <c r="B20" s="56" t="n"/>
      <c r="C20" s="56" t="n"/>
      <c r="D20" s="57" t="inlineStr">
        <is>
          <t>Complete</t>
        </is>
      </c>
      <c r="E20" s="56" t="n"/>
      <c r="F20" s="56" t="n"/>
    </row>
    <row r="21">
      <c r="A21" s="58" t="n"/>
      <c r="B21" s="58" t="n"/>
      <c r="C21" s="59" t="inlineStr">
        <is>
          <t>Employee weekly reflection (4 fields + mood)</t>
        </is>
      </c>
      <c r="D21" s="57" t="inlineStr">
        <is>
          <t>Done</t>
        </is>
      </c>
      <c r="E21" s="60" t="inlineStr">
        <is>
          <t>Yes</t>
        </is>
      </c>
      <c r="F21" s="61" t="inlineStr">
        <is>
          <t>SOP 6.1</t>
        </is>
      </c>
    </row>
    <row r="22">
      <c r="A22" s="58" t="n"/>
      <c r="B22" s="58" t="n"/>
      <c r="C22" s="59" t="inlineStr">
        <is>
          <t>Manager weekly check-in (5 fields)</t>
        </is>
      </c>
      <c r="D22" s="57" t="inlineStr">
        <is>
          <t>Done</t>
        </is>
      </c>
      <c r="E22" s="60" t="inlineStr">
        <is>
          <t>Yes</t>
        </is>
      </c>
      <c r="F22" s="61" t="inlineStr">
        <is>
          <t>SOP 6.2</t>
        </is>
      </c>
    </row>
    <row r="23">
      <c r="A23" s="58" t="n"/>
      <c r="B23" s="58" t="n"/>
      <c r="C23" s="59" t="inlineStr">
        <is>
          <t>Concern field visible to HR/MD only</t>
        </is>
      </c>
      <c r="D23" s="57" t="inlineStr">
        <is>
          <t>Done</t>
        </is>
      </c>
      <c r="E23" s="60" t="inlineStr">
        <is>
          <t>Yes</t>
        </is>
      </c>
      <c r="F23" s="61" t="inlineStr">
        <is>
          <t>SOP 6.2 + 11</t>
        </is>
      </c>
    </row>
    <row r="24">
      <c r="A24" s="58" t="n"/>
      <c r="B24" s="58" t="n"/>
      <c r="C24" s="59" t="inlineStr">
        <is>
          <t>Reflection acknowledgement by manager</t>
        </is>
      </c>
      <c r="D24" s="57" t="inlineStr">
        <is>
          <t>Done</t>
        </is>
      </c>
      <c r="E24" s="60" t="inlineStr">
        <is>
          <t>Yes</t>
        </is>
      </c>
      <c r="F24" s="61" t="inlineStr">
        <is>
          <t>SOP 6.3</t>
        </is>
      </c>
    </row>
    <row r="25">
      <c r="A25" s="58" t="n"/>
      <c r="B25" s="58" t="n"/>
      <c r="C25" s="59" t="inlineStr">
        <is>
          <t>Dashboard with weekly status cards</t>
        </is>
      </c>
      <c r="D25" s="57" t="inlineStr">
        <is>
          <t>Done</t>
        </is>
      </c>
      <c r="E25" s="60" t="inlineStr">
        <is>
          <t>Yes</t>
        </is>
      </c>
      <c r="F25" s="61" t="inlineStr"/>
    </row>
    <row r="26">
      <c r="A26" s="58" t="n"/>
      <c r="B26" s="58" t="n"/>
      <c r="C26" s="59" t="inlineStr">
        <is>
          <t>Pending actions widget</t>
        </is>
      </c>
      <c r="D26" s="57" t="inlineStr">
        <is>
          <t>Done</t>
        </is>
      </c>
      <c r="E26" s="60" t="inlineStr">
        <is>
          <t>Yes</t>
        </is>
      </c>
      <c r="F26" s="61" t="inlineStr"/>
    </row>
    <row r="27">
      <c r="A27" s="58" t="n"/>
      <c r="B27" s="58" t="n"/>
      <c r="C27" s="59" t="inlineStr">
        <is>
          <t>Role-based sidebar navigation</t>
        </is>
      </c>
      <c r="D27" s="57" t="inlineStr">
        <is>
          <t>Done</t>
        </is>
      </c>
      <c r="E27" s="60" t="inlineStr">
        <is>
          <t>Yes</t>
        </is>
      </c>
      <c r="F27" s="61" t="inlineStr"/>
    </row>
    <row r="28" ht="24" customHeight="1" s="26">
      <c r="A28" s="55" t="inlineStr">
        <is>
          <t>Phase 2C -- Monthly Scoring &amp; Tasks</t>
        </is>
      </c>
      <c r="B28" s="56" t="n"/>
      <c r="C28" s="56" t="n"/>
      <c r="D28" s="57" t="inlineStr">
        <is>
          <t>Complete</t>
        </is>
      </c>
      <c r="E28" s="56" t="n"/>
      <c r="F28" s="56" t="n"/>
    </row>
    <row r="29">
      <c r="A29" s="58" t="n"/>
      <c r="B29" s="58" t="n"/>
      <c r="C29" s="59" t="inlineStr">
        <is>
          <t>Employee self-scoring (white-collar: goals + 3 behaviours)</t>
        </is>
      </c>
      <c r="D29" s="57" t="inlineStr">
        <is>
          <t>Done</t>
        </is>
      </c>
      <c r="E29" s="60" t="inlineStr">
        <is>
          <t>Yes</t>
        </is>
      </c>
      <c r="F29" s="61" t="inlineStr">
        <is>
          <t>SOP 7.1</t>
        </is>
      </c>
    </row>
    <row r="30">
      <c r="A30" s="58" t="n"/>
      <c r="B30" s="58" t="n"/>
      <c r="C30" s="59" t="inlineStr">
        <is>
          <t>Employee self-scoring (blue-collar: tasks + 3 behaviours)</t>
        </is>
      </c>
      <c r="D30" s="57" t="inlineStr">
        <is>
          <t>Done</t>
        </is>
      </c>
      <c r="E30" s="60" t="inlineStr">
        <is>
          <t>Yes</t>
        </is>
      </c>
      <c r="F30" s="61" t="inlineStr">
        <is>
          <t>SOP 7.1</t>
        </is>
      </c>
    </row>
    <row r="31">
      <c r="A31" s="58" t="n"/>
      <c r="B31" s="58" t="n"/>
      <c r="C31" s="59" t="inlineStr">
        <is>
          <t>Goal management (create, edit, drop with reason)</t>
        </is>
      </c>
      <c r="D31" s="57" t="inlineStr">
        <is>
          <t>Done</t>
        </is>
      </c>
      <c r="E31" s="60" t="inlineStr">
        <is>
          <t>Yes</t>
        </is>
      </c>
      <c r="F31" s="61" t="inlineStr">
        <is>
          <t>SOP 4.1</t>
        </is>
      </c>
    </row>
    <row r="32">
      <c r="A32" s="58" t="n"/>
      <c r="B32" s="58" t="n"/>
      <c r="C32" s="59" t="inlineStr">
        <is>
          <t>Min 3 / max 5 goals enforcement</t>
        </is>
      </c>
      <c r="D32" s="57" t="inlineStr">
        <is>
          <t>Done</t>
        </is>
      </c>
      <c r="E32" s="60" t="inlineStr">
        <is>
          <t>Yes</t>
        </is>
      </c>
      <c r="F32" s="61" t="inlineStr">
        <is>
          <t>SOP 4.1</t>
        </is>
      </c>
    </row>
    <row r="33">
      <c r="A33" s="58" t="n"/>
      <c r="B33" s="58" t="n"/>
      <c r="C33" s="59" t="inlineStr">
        <is>
          <t>Task management API (CRUD, activate/deactivate)</t>
        </is>
      </c>
      <c r="D33" s="57" t="inlineStr">
        <is>
          <t>Done</t>
        </is>
      </c>
      <c r="E33" s="60" t="inlineStr">
        <is>
          <t>Yes</t>
        </is>
      </c>
      <c r="F33" s="61" t="inlineStr">
        <is>
          <t>SOP 4.2</t>
        </is>
      </c>
    </row>
    <row r="34">
      <c r="A34" s="58" t="n"/>
      <c r="B34" s="58" t="n"/>
      <c r="C34" s="59" t="inlineStr">
        <is>
          <t>Score dimensions engine</t>
        </is>
      </c>
      <c r="D34" s="57" t="inlineStr">
        <is>
          <t>Done</t>
        </is>
      </c>
      <c r="E34" s="60" t="inlineStr">
        <is>
          <t>Yes</t>
        </is>
      </c>
      <c r="F34" s="61" t="inlineStr"/>
    </row>
    <row r="35">
      <c r="A35" s="58" t="n"/>
      <c r="B35" s="58" t="n"/>
      <c r="C35" s="59" t="inlineStr">
        <is>
          <t>computeAverage + getRatingBand</t>
        </is>
      </c>
      <c r="D35" s="57" t="inlineStr">
        <is>
          <t>Done</t>
        </is>
      </c>
      <c r="E35" s="60" t="inlineStr">
        <is>
          <t>Yes</t>
        </is>
      </c>
      <c r="F35" s="61" t="inlineStr">
        <is>
          <t>SOP 5</t>
        </is>
      </c>
    </row>
    <row r="36">
      <c r="A36" s="58" t="n"/>
      <c r="B36" s="58" t="n"/>
      <c r="C36" s="59" t="inlineStr">
        <is>
          <t>Window enforcement (isWindowOpen per role)</t>
        </is>
      </c>
      <c r="D36" s="57" t="inlineStr">
        <is>
          <t>Done</t>
        </is>
      </c>
      <c r="E36" s="60" t="inlineStr">
        <is>
          <t>Yes</t>
        </is>
      </c>
      <c r="F36" s="61" t="inlineStr">
        <is>
          <t>SOP 7</t>
        </is>
      </c>
    </row>
    <row r="37">
      <c r="A37" s="58" t="n"/>
      <c r="B37" s="58" t="n"/>
      <c r="C37" s="59" t="inlineStr">
        <is>
          <t>Manager scoring with review notes + focus</t>
        </is>
      </c>
      <c r="D37" s="57" t="inlineStr">
        <is>
          <t>Done</t>
        </is>
      </c>
      <c r="E37" s="60" t="inlineStr">
        <is>
          <t>Yes</t>
        </is>
      </c>
      <c r="F37" s="61" t="inlineStr">
        <is>
          <t>SOP 7.2</t>
        </is>
      </c>
    </row>
    <row r="38">
      <c r="A38" s="58" t="n"/>
      <c r="B38" s="58" t="n"/>
      <c r="C38" s="59" t="inlineStr">
        <is>
          <t>Locked Average + Flagged Dimensions</t>
        </is>
      </c>
      <c r="D38" s="57" t="inlineStr">
        <is>
          <t>Done</t>
        </is>
      </c>
      <c r="E38" s="60" t="inlineStr">
        <is>
          <t>Yes</t>
        </is>
      </c>
      <c r="F38" s="61" t="inlineStr">
        <is>
          <t>SOP 7.1</t>
        </is>
      </c>
    </row>
    <row r="39">
      <c r="A39" s="58" t="n"/>
      <c r="B39" s="58" t="n"/>
      <c r="C39" s="59" t="inlineStr">
        <is>
          <t>2+ point gap flagged for discussion</t>
        </is>
      </c>
      <c r="D39" s="57" t="inlineStr">
        <is>
          <t>Done</t>
        </is>
      </c>
      <c r="E39" s="60" t="inlineStr">
        <is>
          <t>Yes</t>
        </is>
      </c>
      <c r="F39" s="61" t="inlineStr">
        <is>
          <t>SOP 7.1</t>
        </is>
      </c>
    </row>
    <row r="40">
      <c r="A40" s="58" t="n"/>
      <c r="B40" s="58" t="n"/>
      <c r="C40" s="59" t="inlineStr">
        <is>
          <t>Score My Team page</t>
        </is>
      </c>
      <c r="D40" s="57" t="inlineStr">
        <is>
          <t>Done</t>
        </is>
      </c>
      <c r="E40" s="60" t="inlineStr">
        <is>
          <t>Yes</t>
        </is>
      </c>
      <c r="F40" s="61" t="inlineStr"/>
    </row>
    <row r="41">
      <c r="A41" s="58" t="n"/>
      <c r="B41" s="58" t="n"/>
      <c r="C41" s="59" t="inlineStr">
        <is>
          <t>Team Tasks UI page</t>
        </is>
      </c>
      <c r="D41" s="57" t="inlineStr">
        <is>
          <t>Done</t>
        </is>
      </c>
      <c r="E41" s="60" t="inlineStr">
        <is>
          <t>Yes</t>
        </is>
      </c>
      <c r="F41" s="61" t="inlineStr"/>
    </row>
    <row r="42">
      <c r="A42" s="58" t="n"/>
      <c r="B42" s="58" t="n"/>
      <c r="C42" s="59" t="inlineStr">
        <is>
          <t>Team Goals page</t>
        </is>
      </c>
      <c r="D42" s="57" t="inlineStr">
        <is>
          <t>Done</t>
        </is>
      </c>
      <c r="E42" s="60" t="inlineStr">
        <is>
          <t>Yes</t>
        </is>
      </c>
      <c r="F42" s="61" t="inlineStr"/>
    </row>
    <row r="43">
      <c r="A43" s="58" t="n"/>
      <c r="B43" s="58" t="n"/>
      <c r="C43" s="59" t="inlineStr">
        <is>
          <t>Self-Score page</t>
        </is>
      </c>
      <c r="D43" s="57" t="inlineStr">
        <is>
          <t>Done</t>
        </is>
      </c>
      <c r="E43" s="60" t="inlineStr">
        <is>
          <t>Yes</t>
        </is>
      </c>
      <c r="F43" s="61" t="inlineStr"/>
    </row>
    <row r="44">
      <c r="A44" s="58" t="n"/>
      <c r="B44" s="58" t="n"/>
      <c r="C44" s="59" t="inlineStr">
        <is>
          <t>My Goals page</t>
        </is>
      </c>
      <c r="D44" s="57" t="inlineStr">
        <is>
          <t>Done</t>
        </is>
      </c>
      <c r="E44" s="60" t="inlineStr">
        <is>
          <t>Yes</t>
        </is>
      </c>
      <c r="F44" s="61" t="inlineStr"/>
    </row>
    <row r="45">
      <c r="A45" s="58" t="n"/>
      <c r="B45" s="58" t="n"/>
      <c r="C45" s="59" t="inlineStr">
        <is>
          <t>My Tasks page</t>
        </is>
      </c>
      <c r="D45" s="57" t="inlineStr">
        <is>
          <t>Done</t>
        </is>
      </c>
      <c r="E45" s="60" t="inlineStr">
        <is>
          <t>Yes</t>
        </is>
      </c>
      <c r="F45" s="61" t="inlineStr"/>
    </row>
    <row r="46">
      <c r="A46" s="58" t="n"/>
      <c r="B46" s="58" t="n"/>
      <c r="C46" s="59" t="inlineStr">
        <is>
          <t>Team Overview page</t>
        </is>
      </c>
      <c r="D46" s="57" t="inlineStr">
        <is>
          <t>Done</t>
        </is>
      </c>
      <c r="E46" s="60" t="inlineStr">
        <is>
          <t>Yes</t>
        </is>
      </c>
      <c r="F46" s="61" t="inlineStr"/>
    </row>
    <row r="47" ht="24" customHeight="1" s="26">
      <c r="A47" s="55" t="inlineStr">
        <is>
          <t>Phase 2D -- Review Lifecycle &amp; Notifications</t>
        </is>
      </c>
      <c r="B47" s="56" t="n"/>
      <c r="C47" s="56" t="n"/>
      <c r="D47" s="62" t="inlineStr">
        <is>
          <t>In Progress</t>
        </is>
      </c>
      <c r="E47" s="56" t="n"/>
      <c r="F47" s="56" t="n"/>
    </row>
    <row r="48">
      <c r="A48" s="58" t="n"/>
      <c r="B48" s="58" t="n"/>
      <c r="C48" s="59" t="inlineStr">
        <is>
          <t>Employee acknowledgement API</t>
        </is>
      </c>
      <c r="D48" s="57" t="inlineStr">
        <is>
          <t>Done</t>
        </is>
      </c>
      <c r="E48" s="60" t="inlineStr">
        <is>
          <t>Yes</t>
        </is>
      </c>
      <c r="F48" s="61" t="inlineStr">
        <is>
          <t>SOP 7</t>
        </is>
      </c>
    </row>
    <row r="49">
      <c r="A49" s="58" t="n"/>
      <c r="B49" s="58" t="n"/>
      <c r="C49" s="59" t="inlineStr">
        <is>
          <t>My Review page (scores, comments, acknowledge)</t>
        </is>
      </c>
      <c r="D49" s="57" t="inlineStr">
        <is>
          <t>Done</t>
        </is>
      </c>
      <c r="E49" s="60" t="inlineStr">
        <is>
          <t>Yes</t>
        </is>
      </c>
      <c r="F49" s="61" t="inlineStr"/>
    </row>
    <row r="50">
      <c r="A50" s="58" t="n"/>
      <c r="B50" s="58" t="n"/>
      <c r="C50" s="59" t="inlineStr">
        <is>
          <t>AI review notes validation</t>
        </is>
      </c>
      <c r="D50" s="57" t="inlineStr">
        <is>
          <t>Done</t>
        </is>
      </c>
      <c r="E50" s="60" t="inlineStr">
        <is>
          <t>Yes</t>
        </is>
      </c>
      <c r="F50" s="61" t="inlineStr">
        <is>
          <t>SOP 7.2</t>
        </is>
      </c>
    </row>
    <row r="51">
      <c r="A51" s="58" t="n"/>
      <c r="B51" s="58" t="n"/>
      <c r="C51" s="59" t="inlineStr">
        <is>
          <t>Weekly context in monthly scoring</t>
        </is>
      </c>
      <c r="D51" s="57" t="inlineStr">
        <is>
          <t>Done</t>
        </is>
      </c>
      <c r="E51" s="60" t="inlineStr">
        <is>
          <t>Yes</t>
        </is>
      </c>
      <c r="F51" s="61" t="inlineStr">
        <is>
          <t>SOP 7.3</t>
        </is>
      </c>
    </row>
    <row r="52">
      <c r="A52" s="58" t="n"/>
      <c r="B52" s="58" t="n"/>
      <c r="C52" s="59" t="inlineStr">
        <is>
          <t>HR Review Monitor page</t>
        </is>
      </c>
      <c r="D52" s="57" t="inlineStr">
        <is>
          <t>Done</t>
        </is>
      </c>
      <c r="E52" s="60" t="inlineStr">
        <is>
          <t>Yes</t>
        </is>
      </c>
      <c r="F52" s="61" t="inlineStr"/>
    </row>
    <row r="53">
      <c r="A53" s="58" t="n"/>
      <c r="B53" s="58" t="n"/>
      <c r="C53" s="59" t="inlineStr">
        <is>
          <t>Lock Cycle API (single + bulk)</t>
        </is>
      </c>
      <c r="D53" s="57" t="inlineStr">
        <is>
          <t>Done</t>
        </is>
      </c>
      <c r="E53" s="60" t="inlineStr">
        <is>
          <t>Yes</t>
        </is>
      </c>
      <c r="F53" s="61" t="inlineStr">
        <is>
          <t>SOP 7</t>
        </is>
      </c>
    </row>
    <row r="54">
      <c r="A54" s="58" t="n"/>
      <c r="B54" s="58" t="n"/>
      <c r="C54" s="59" t="inlineStr">
        <is>
          <t>Notifications foundation (APIs + bell)</t>
        </is>
      </c>
      <c r="D54" s="57" t="inlineStr">
        <is>
          <t>Done</t>
        </is>
      </c>
      <c r="E54" s="60" t="inlineStr">
        <is>
          <t>Yes</t>
        </is>
      </c>
      <c r="F54" s="61" t="inlineStr">
        <is>
          <t>SOP 13</t>
        </is>
      </c>
    </row>
    <row r="55">
      <c r="A55" s="58" t="n"/>
      <c r="B55" s="58" t="n"/>
      <c r="C55" s="59" t="inlineStr">
        <is>
          <t>Notification triggers (score, acknowledge, lock)</t>
        </is>
      </c>
      <c r="D55" s="57" t="inlineStr">
        <is>
          <t>Done</t>
        </is>
      </c>
      <c r="E55" s="60" t="inlineStr">
        <is>
          <t>Yes</t>
        </is>
      </c>
      <c r="F55" s="61" t="inlineStr"/>
    </row>
    <row r="56">
      <c r="A56" s="58" t="n"/>
      <c r="B56" s="58" t="n"/>
      <c r="C56" s="59" t="inlineStr">
        <is>
          <t>HR Notifications admin page</t>
        </is>
      </c>
      <c r="D56" s="64" t="inlineStr">
        <is>
          <t>Not Built</t>
        </is>
      </c>
      <c r="E56" s="63" t="inlineStr">
        <is>
          <t>Nice to have</t>
        </is>
      </c>
      <c r="F56" s="61" t="inlineStr">
        <is>
          <t>HR uses Monitor page</t>
        </is>
      </c>
    </row>
    <row r="57" ht="24" customHeight="1" s="26">
      <c r="A57" s="55" t="inlineStr">
        <is>
          <t>Phase 3 -- Automation &amp; Escalation</t>
        </is>
      </c>
      <c r="B57" s="56" t="n"/>
      <c r="C57" s="56" t="n"/>
      <c r="D57" s="64" t="inlineStr">
        <is>
          <t>Not Started</t>
        </is>
      </c>
      <c r="E57" s="56" t="n"/>
      <c r="F57" s="56" t="n"/>
    </row>
    <row r="58">
      <c r="A58" s="58" t="n"/>
      <c r="B58" s="58" t="n"/>
      <c r="C58" s="59" t="inlineStr">
        <is>
          <t>Day 1 auto notify window open</t>
        </is>
      </c>
      <c r="D58" s="64" t="inlineStr">
        <is>
          <t>Not Built</t>
        </is>
      </c>
      <c r="E58" s="63" t="inlineStr">
        <is>
          <t>Nice to have</t>
        </is>
      </c>
      <c r="F58" s="61" t="inlineStr">
        <is>
          <t>HR messages manually</t>
        </is>
      </c>
    </row>
    <row r="59">
      <c r="A59" s="58" t="n"/>
      <c r="B59" s="58" t="n"/>
      <c r="C59" s="59" t="inlineStr">
        <is>
          <t>Day 3 first auto reminder</t>
        </is>
      </c>
      <c r="D59" s="64" t="inlineStr">
        <is>
          <t>Not Built</t>
        </is>
      </c>
      <c r="E59" s="63" t="inlineStr">
        <is>
          <t>Nice to have</t>
        </is>
      </c>
      <c r="F59" s="61" t="inlineStr">
        <is>
          <t>HR sends from Monitor</t>
        </is>
      </c>
    </row>
    <row r="60">
      <c r="A60" s="58" t="n"/>
      <c r="B60" s="58" t="n"/>
      <c r="C60" s="59" t="inlineStr">
        <is>
          <t>Day 6 second auto reminder</t>
        </is>
      </c>
      <c r="D60" s="64" t="inlineStr">
        <is>
          <t>Not Built</t>
        </is>
      </c>
      <c r="E60" s="63" t="inlineStr">
        <is>
          <t>Nice to have</t>
        </is>
      </c>
      <c r="F60" s="61" t="inlineStr"/>
    </row>
    <row r="61">
      <c r="A61" s="58" t="n"/>
      <c r="B61" s="58" t="n"/>
      <c r="C61" s="59" t="inlineStr">
        <is>
          <t>Day 7 auto-flag pending to HR</t>
        </is>
      </c>
      <c r="D61" s="64" t="inlineStr">
        <is>
          <t>Not Built</t>
        </is>
      </c>
      <c r="E61" s="65" t="inlineStr">
        <is>
          <t>No</t>
        </is>
      </c>
      <c r="F61" s="61" t="inlineStr">
        <is>
          <t>Monitor already shows all</t>
        </is>
      </c>
    </row>
    <row r="62">
      <c r="A62" s="58" t="n"/>
      <c r="B62" s="58" t="n"/>
      <c r="C62" s="59" t="inlineStr">
        <is>
          <t>Day 10 pending visible to MD + manager penalty</t>
        </is>
      </c>
      <c r="D62" s="64" t="inlineStr">
        <is>
          <t>Not Built</t>
        </is>
      </c>
      <c r="E62" s="65" t="inlineStr">
        <is>
          <t>No</t>
        </is>
      </c>
      <c r="F62" s="61" t="inlineStr">
        <is>
          <t>Manual for month 1</t>
        </is>
      </c>
    </row>
    <row r="63">
      <c r="A63" s="58" t="n"/>
      <c r="B63" s="58" t="n"/>
      <c r="C63" s="59" t="inlineStr">
        <is>
          <t>Day 11 auto window close + auto lock</t>
        </is>
      </c>
      <c r="D63" s="64" t="inlineStr">
        <is>
          <t>Not Built</t>
        </is>
      </c>
      <c r="E63" s="63" t="inlineStr">
        <is>
          <t>Nice to have</t>
        </is>
      </c>
      <c r="F63" s="61" t="inlineStr">
        <is>
          <t>HR bulk locks manually</t>
        </is>
      </c>
    </row>
    <row r="64">
      <c r="A64" s="58" t="n"/>
      <c r="B64" s="58" t="n"/>
      <c r="C64" s="59" t="inlineStr">
        <is>
          <t>Saturday auto reminder for missed reflections</t>
        </is>
      </c>
      <c r="D64" s="64" t="inlineStr">
        <is>
          <t>Not Built</t>
        </is>
      </c>
      <c r="E64" s="63" t="inlineStr">
        <is>
          <t>Nice to have</t>
        </is>
      </c>
      <c r="F64" s="61" t="inlineStr">
        <is>
          <t>HR sends manually</t>
        </is>
      </c>
    </row>
    <row r="65">
      <c r="A65" s="58" t="n"/>
      <c r="B65" s="58" t="n"/>
      <c r="C65" s="59" t="inlineStr">
        <is>
          <t>Monday missed reflections visible to HR</t>
        </is>
      </c>
      <c r="D65" s="64" t="inlineStr">
        <is>
          <t>Not Built</t>
        </is>
      </c>
      <c r="E65" s="65" t="inlineStr">
        <is>
          <t>No</t>
        </is>
      </c>
      <c r="F65" s="61" t="inlineStr">
        <is>
          <t>Check sheet directly</t>
        </is>
      </c>
    </row>
    <row r="66">
      <c r="A66" s="58" t="n"/>
      <c r="B66" s="58" t="n"/>
      <c r="C66" s="59" t="inlineStr">
        <is>
          <t>Missed reflections visible to MD</t>
        </is>
      </c>
      <c r="D66" s="64" t="inlineStr">
        <is>
          <t>Not Built</t>
        </is>
      </c>
      <c r="E66" s="65" t="inlineStr">
        <is>
          <t>No</t>
        </is>
      </c>
      <c r="F66" s="61" t="inlineStr"/>
    </row>
    <row r="67">
      <c r="A67" s="58" t="n"/>
      <c r="B67" s="58" t="n"/>
      <c r="C67" s="59" t="inlineStr">
        <is>
          <t>Manager deadline escalation</t>
        </is>
      </c>
      <c r="D67" s="64" t="inlineStr">
        <is>
          <t>Not Built</t>
        </is>
      </c>
      <c r="E67" s="65" t="inlineStr">
        <is>
          <t>No</t>
        </is>
      </c>
      <c r="F67" s="61" t="inlineStr"/>
    </row>
    <row r="68">
      <c r="A68" s="58" t="n"/>
      <c r="B68" s="58" t="n"/>
      <c r="C68" s="59" t="inlineStr">
        <is>
          <t>Full escalation dashboard</t>
        </is>
      </c>
      <c r="D68" s="64" t="inlineStr">
        <is>
          <t>Not Built</t>
        </is>
      </c>
      <c r="E68" s="65" t="inlineStr">
        <is>
          <t>No</t>
        </is>
      </c>
      <c r="F68" s="61" t="inlineStr"/>
    </row>
    <row r="69" ht="24" customHeight="1" s="26">
      <c r="A69" s="55" t="inlineStr">
        <is>
          <t>Phase 4 -- History, Feedback &amp; Reports</t>
        </is>
      </c>
      <c r="B69" s="56" t="n"/>
      <c r="C69" s="56" t="n"/>
      <c r="D69" s="64" t="inlineStr">
        <is>
          <t>Not Started</t>
        </is>
      </c>
      <c r="E69" s="56" t="n"/>
      <c r="F69" s="56" t="n"/>
    </row>
    <row r="70">
      <c r="A70" s="58" t="n"/>
      <c r="B70" s="58" t="n"/>
      <c r="C70" s="59" t="inlineStr">
        <is>
          <t>My History page (12-month trend)</t>
        </is>
      </c>
      <c r="D70" s="64" t="inlineStr">
        <is>
          <t>Not Built</t>
        </is>
      </c>
      <c r="E70" s="63" t="inlineStr">
        <is>
          <t>Nice to have</t>
        </is>
      </c>
      <c r="F70" s="61" t="inlineStr">
        <is>
          <t>Only 1 month at launch</t>
        </is>
      </c>
    </row>
    <row r="71">
      <c r="A71" s="58" t="n"/>
      <c r="B71" s="58" t="n"/>
      <c r="C71" s="59" t="inlineStr">
        <is>
          <t>My Feedback page (past manager feedback)</t>
        </is>
      </c>
      <c r="D71" s="64" t="inlineStr">
        <is>
          <t>Not Built</t>
        </is>
      </c>
      <c r="E71" s="63" t="inlineStr">
        <is>
          <t>Nice to have</t>
        </is>
      </c>
      <c r="F71" s="61" t="inlineStr">
        <is>
          <t>My Review covers current</t>
        </is>
      </c>
    </row>
    <row r="72">
      <c r="A72" s="58" t="n"/>
      <c r="B72" s="58" t="n"/>
      <c r="C72" s="59" t="inlineStr">
        <is>
          <t>HR Reports (dept-wise, score distribution)</t>
        </is>
      </c>
      <c r="D72" s="64" t="inlineStr">
        <is>
          <t>Not Built</t>
        </is>
      </c>
      <c r="E72" s="63" t="inlineStr">
        <is>
          <t>Nice to have</t>
        </is>
      </c>
      <c r="F72" s="61" t="inlineStr">
        <is>
          <t>Export from Google Sheets</t>
        </is>
      </c>
    </row>
    <row r="73">
      <c r="A73" s="58" t="n"/>
      <c r="B73" s="58" t="n"/>
      <c r="C73" s="59" t="inlineStr">
        <is>
          <t>Excel bulk upload for employees</t>
        </is>
      </c>
      <c r="D73" s="64" t="inlineStr">
        <is>
          <t>Not Built</t>
        </is>
      </c>
      <c r="E73" s="63" t="inlineStr">
        <is>
          <t>Nice to have</t>
        </is>
      </c>
      <c r="F73" s="61" t="inlineStr">
        <is>
          <t>Manual entry or sheet edit</t>
        </is>
      </c>
    </row>
    <row r="74" ht="24" customHeight="1" s="26">
      <c r="A74" s="55" t="inlineStr">
        <is>
          <t>Phase 5 -- Annual Increments</t>
        </is>
      </c>
      <c r="B74" s="56" t="n"/>
      <c r="C74" s="56" t="n"/>
      <c r="D74" s="64" t="inlineStr">
        <is>
          <t>Not Started</t>
        </is>
      </c>
      <c r="E74" s="56" t="n"/>
      <c r="F74" s="56" t="n"/>
    </row>
    <row r="75">
      <c r="A75" s="58" t="n"/>
      <c r="B75" s="58" t="n"/>
      <c r="C75" s="59" t="inlineStr">
        <is>
          <t>12-month average score calculation</t>
        </is>
      </c>
      <c r="D75" s="64" t="inlineStr">
        <is>
          <t>Not Built</t>
        </is>
      </c>
      <c r="E75" s="65" t="inlineStr">
        <is>
          <t>No</t>
        </is>
      </c>
      <c r="F75" s="61" t="inlineStr">
        <is>
          <t>Not needed until March 2027</t>
        </is>
      </c>
    </row>
    <row r="76">
      <c r="A76" s="58" t="n"/>
      <c r="B76" s="58" t="n"/>
      <c r="C76" s="59" t="inlineStr">
        <is>
          <t>MD sets increment percentage bands</t>
        </is>
      </c>
      <c r="D76" s="64" t="inlineStr">
        <is>
          <t>Not Built</t>
        </is>
      </c>
      <c r="E76" s="65" t="inlineStr">
        <is>
          <t>No</t>
        </is>
      </c>
      <c r="F76" s="61" t="inlineStr"/>
    </row>
    <row r="77">
      <c r="A77" s="58" t="n"/>
      <c r="B77" s="58" t="n"/>
      <c r="C77" s="59" t="inlineStr">
        <is>
          <t>HR computes individual increments</t>
        </is>
      </c>
      <c r="D77" s="64" t="inlineStr">
        <is>
          <t>Not Built</t>
        </is>
      </c>
      <c r="E77" s="65" t="inlineStr">
        <is>
          <t>No</t>
        </is>
      </c>
      <c r="F77" s="61" t="inlineStr"/>
    </row>
    <row r="78">
      <c r="A78" s="58" t="n"/>
      <c r="B78" s="58" t="n"/>
      <c r="C78" s="59" t="inlineStr">
        <is>
          <t>MD approves increment sheet</t>
        </is>
      </c>
      <c r="D78" s="64" t="inlineStr">
        <is>
          <t>Not Built</t>
        </is>
      </c>
      <c r="E78" s="65" t="inlineStr">
        <is>
          <t>No</t>
        </is>
      </c>
      <c r="F78" s="61" t="inlineStr"/>
    </row>
    <row r="79">
      <c r="A79" s="58" t="n"/>
      <c r="B79" s="58" t="n"/>
      <c r="C79" s="59" t="inlineStr">
        <is>
          <t>Increment letter generation</t>
        </is>
      </c>
      <c r="D79" s="64" t="inlineStr">
        <is>
          <t>Not Built</t>
        </is>
      </c>
      <c r="E79" s="65" t="inlineStr">
        <is>
          <t>No</t>
        </is>
      </c>
      <c r="F79" s="61" t="inlineStr"/>
    </row>
    <row r="80" ht="24" customHeight="1" s="26">
      <c r="A80" s="55" t="inlineStr">
        <is>
          <t>Phase 6 -- Executive &amp; Edge Cases</t>
        </is>
      </c>
      <c r="B80" s="56" t="n"/>
      <c r="C80" s="56" t="n"/>
      <c r="D80" s="64" t="inlineStr">
        <is>
          <t>Not Started</t>
        </is>
      </c>
      <c r="E80" s="56" t="n"/>
      <c r="F80" s="56" t="n"/>
    </row>
    <row r="81">
      <c r="A81" s="58" t="n"/>
      <c r="B81" s="58" t="n"/>
      <c r="C81" s="59" t="inlineStr">
        <is>
          <t>Executive Dashboard (org-wide for MD)</t>
        </is>
      </c>
      <c r="D81" s="64" t="inlineStr">
        <is>
          <t>Not Built</t>
        </is>
      </c>
      <c r="E81" s="65" t="inlineStr">
        <is>
          <t>No</t>
        </is>
      </c>
      <c r="F81" s="61" t="inlineStr">
        <is>
          <t>MD uses HR Admin pages</t>
        </is>
      </c>
    </row>
    <row r="82">
      <c r="A82" s="58" t="n"/>
      <c r="B82" s="58" t="n"/>
      <c r="C82" s="59" t="inlineStr">
        <is>
          <t>Rating Overrides by MD</t>
        </is>
      </c>
      <c r="D82" s="64" t="inlineStr">
        <is>
          <t>Not Built</t>
        </is>
      </c>
      <c r="E82" s="65" t="inlineStr">
        <is>
          <t>No</t>
        </is>
      </c>
      <c r="F82" s="61" t="inlineStr">
        <is>
          <t>Edit sheet directly</t>
        </is>
      </c>
    </row>
    <row r="83">
      <c r="A83" s="58" t="n"/>
      <c r="B83" s="58" t="n"/>
      <c r="C83" s="59" t="inlineStr">
        <is>
          <t>Approve Increments page</t>
        </is>
      </c>
      <c r="D83" s="64" t="inlineStr">
        <is>
          <t>Not Built</t>
        </is>
      </c>
      <c r="E83" s="65" t="inlineStr">
        <is>
          <t>No</t>
        </is>
      </c>
      <c r="F83" s="61" t="inlineStr">
        <is>
          <t>Phase 5 dependency</t>
        </is>
      </c>
    </row>
    <row r="84">
      <c r="A84" s="58" t="n"/>
      <c r="B84" s="58" t="n"/>
      <c r="C84" s="59" t="inlineStr">
        <is>
          <t>Employee disputes rating flow</t>
        </is>
      </c>
      <c r="D84" s="64" t="inlineStr">
        <is>
          <t>Not Built</t>
        </is>
      </c>
      <c r="E84" s="65" t="inlineStr">
        <is>
          <t>No</t>
        </is>
      </c>
      <c r="F84" s="61" t="inlineStr">
        <is>
          <t>Manual process</t>
        </is>
      </c>
    </row>
    <row r="85">
      <c r="A85" s="58" t="n"/>
      <c r="B85" s="58" t="n"/>
      <c r="C85" s="59" t="inlineStr">
        <is>
          <t>Goal/task change request flow</t>
        </is>
      </c>
      <c r="D85" s="64" t="inlineStr">
        <is>
          <t>Not Built</t>
        </is>
      </c>
      <c r="E85" s="65" t="inlineStr">
        <is>
          <t>No</t>
        </is>
      </c>
      <c r="F85" s="61" t="inlineStr">
        <is>
          <t>Manual process</t>
        </is>
      </c>
    </row>
    <row r="86">
      <c r="A86" s="58" t="n"/>
      <c r="B86" s="58" t="n"/>
      <c r="C86" s="59" t="inlineStr">
        <is>
          <t>Employee refuses to acknowledge</t>
        </is>
      </c>
      <c r="D86" s="64" t="inlineStr">
        <is>
          <t>Not Built</t>
        </is>
      </c>
      <c r="E86" s="65" t="inlineStr">
        <is>
          <t>No</t>
        </is>
      </c>
      <c r="F86" s="61" t="inlineStr">
        <is>
          <t>Manual process</t>
        </is>
      </c>
    </row>
    <row r="87">
      <c r="A87" s="58" t="n"/>
      <c r="B87" s="58" t="n"/>
      <c r="C87" s="59" t="inlineStr">
        <is>
          <t>Org edge cases (joiner cutoff, mgr exit)</t>
        </is>
      </c>
      <c r="D87" s="64" t="inlineStr">
        <is>
          <t>Not Built</t>
        </is>
      </c>
      <c r="E87" s="65" t="inlineStr">
        <is>
          <t>No</t>
        </is>
      </c>
      <c r="F87" s="61" t="inlineStr">
        <is>
          <t>Manual handling</t>
        </is>
      </c>
    </row>
    <row r="89">
      <c r="A89" s="66" t="inlineStr">
        <is>
          <t>Go-Live Need Legend</t>
        </is>
      </c>
    </row>
    <row r="90">
      <c r="A90" s="57" t="inlineStr">
        <is>
          <t>Yes</t>
        </is>
      </c>
      <c r="B90" s="67" t="inlineStr">
        <is>
          <t>Must have for go-live -- already built and working</t>
        </is>
      </c>
      <c r="C90" s="58" t="n"/>
      <c r="D90" s="58" t="n"/>
      <c r="E90" s="58" t="n"/>
      <c r="F90" s="58" t="n"/>
    </row>
    <row r="91">
      <c r="A91" s="62" t="inlineStr">
        <is>
          <t>Nice to have</t>
        </is>
      </c>
      <c r="B91" s="67" t="inlineStr">
        <is>
          <t>Useful but HR can work around it manually for month 1</t>
        </is>
      </c>
      <c r="C91" s="58" t="n"/>
      <c r="D91" s="58" t="n"/>
      <c r="E91" s="58" t="n"/>
      <c r="F91" s="58" t="n"/>
    </row>
    <row r="92">
      <c r="A92" s="68" t="inlineStr">
        <is>
          <t>No</t>
        </is>
      </c>
      <c r="B92" s="67" t="inlineStr">
        <is>
          <t>Not needed for April 1 launch -- can be built later</t>
        </is>
      </c>
      <c r="C92" s="58" t="n"/>
      <c r="D92" s="58" t="n"/>
      <c r="E92" s="58" t="n"/>
      <c r="F92" s="58" t="n"/>
    </row>
  </sheetData>
  <mergeCells count="15">
    <mergeCell ref="A2:F2"/>
    <mergeCell ref="A20:B20"/>
    <mergeCell ref="B91:F91"/>
    <mergeCell ref="A57:B57"/>
    <mergeCell ref="B92:F92"/>
    <mergeCell ref="A1:F1"/>
    <mergeCell ref="B90:F90"/>
    <mergeCell ref="A47:B47"/>
    <mergeCell ref="A5:B5"/>
    <mergeCell ref="A28:B28"/>
    <mergeCell ref="A89:F89"/>
    <mergeCell ref="A13:B13"/>
    <mergeCell ref="A74:B74"/>
    <mergeCell ref="A80:B80"/>
    <mergeCell ref="A69:B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2026-03-26T06:47:44Z</dcterms:created>
  <dcterms:modified xmlns:dcterms="http://purl.org/dc/terms/" xmlns:xsi="http://www.w3.org/2001/XMLSchema-instance" xsi:type="dcterms:W3CDTF">2026-03-26T06:56:44Z</dcterms:modified>
  <cp:revision>0</cp:revision>
</cp:coreProperties>
</file>